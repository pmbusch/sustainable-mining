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ablo\Programming\R\R Stanford\sustainable-mining\Inputs\"/>
    </mc:Choice>
  </mc:AlternateContent>
  <xr:revisionPtr revIDLastSave="0" documentId="13_ncr:1_{E8F84885-5998-4B69-ADE6-246884F1308B}" xr6:coauthVersionLast="47" xr6:coauthVersionMax="47" xr10:uidLastSave="{00000000-0000-0000-0000-000000000000}"/>
  <bookViews>
    <workbookView xWindow="-108" yWindow="-108" windowWidth="24792" windowHeight="14856" activeTab="2" xr2:uid="{12416FF7-DE32-4326-87E1-FC3491257B55}"/>
  </bookViews>
  <sheets>
    <sheet name="Metadata" sheetId="3" r:id="rId1"/>
    <sheet name="Analysis" sheetId="6" r:id="rId2"/>
    <sheet name="Database" sheetId="1" r:id="rId3"/>
    <sheet name="Vera2023_DLE" sheetId="7" r:id="rId4"/>
    <sheet name="Conversion" sheetId="5" r:id="rId5"/>
    <sheet name="References" sheetId="2" r:id="rId6"/>
  </sheets>
  <calcPr calcId="191029"/>
  <pivotCaches>
    <pivotCache cacheId="7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8" i="1" l="1"/>
  <c r="L37" i="1"/>
  <c r="U62" i="1" l="1"/>
  <c r="U26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65" i="1"/>
  <c r="X66" i="1"/>
  <c r="X25" i="1"/>
  <c r="X26" i="1"/>
  <c r="X27" i="1"/>
  <c r="X28" i="1"/>
  <c r="X29" i="1"/>
  <c r="X30" i="1"/>
  <c r="X31" i="1"/>
  <c r="X32" i="1"/>
  <c r="X33" i="1"/>
  <c r="X34" i="1"/>
  <c r="X35" i="1"/>
  <c r="X69" i="1"/>
  <c r="X70" i="1"/>
  <c r="X71" i="1"/>
  <c r="X72" i="1"/>
  <c r="X73" i="1"/>
  <c r="X89" i="1"/>
  <c r="X90" i="1"/>
  <c r="X67" i="1"/>
  <c r="X68" i="1"/>
  <c r="X74" i="1"/>
  <c r="X91" i="1"/>
  <c r="X92" i="1"/>
  <c r="X93" i="1"/>
  <c r="X94" i="1"/>
  <c r="X95" i="1"/>
  <c r="X96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50" i="1"/>
  <c r="X51" i="1"/>
  <c r="X52" i="1"/>
  <c r="X53" i="1"/>
  <c r="X88" i="1"/>
  <c r="X54" i="1"/>
  <c r="X55" i="1"/>
  <c r="X58" i="1"/>
  <c r="X60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65" i="1"/>
  <c r="W66" i="1"/>
  <c r="W25" i="1"/>
  <c r="W26" i="1"/>
  <c r="W30" i="1"/>
  <c r="W31" i="1"/>
  <c r="W32" i="1"/>
  <c r="W33" i="1"/>
  <c r="W34" i="1"/>
  <c r="W35" i="1"/>
  <c r="W36" i="1"/>
  <c r="W89" i="1"/>
  <c r="W39" i="1"/>
  <c r="W40" i="1"/>
  <c r="W41" i="1"/>
  <c r="W42" i="1"/>
  <c r="W43" i="1"/>
  <c r="W44" i="1"/>
  <c r="W45" i="1"/>
  <c r="W46" i="1"/>
  <c r="W47" i="1"/>
  <c r="W48" i="1"/>
  <c r="W50" i="1"/>
  <c r="W51" i="1"/>
  <c r="W52" i="1"/>
  <c r="W53" i="1"/>
  <c r="W88" i="1"/>
  <c r="W54" i="1"/>
  <c r="W55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65" i="1"/>
  <c r="U66" i="1"/>
  <c r="U25" i="1"/>
  <c r="U27" i="1"/>
  <c r="U28" i="1"/>
  <c r="U29" i="1"/>
  <c r="U30" i="1"/>
  <c r="U31" i="1"/>
  <c r="U32" i="1"/>
  <c r="U33" i="1"/>
  <c r="U34" i="1"/>
  <c r="U35" i="1"/>
  <c r="U36" i="1"/>
  <c r="U69" i="1"/>
  <c r="U70" i="1"/>
  <c r="U71" i="1"/>
  <c r="U72" i="1"/>
  <c r="U73" i="1"/>
  <c r="U89" i="1"/>
  <c r="U90" i="1"/>
  <c r="U67" i="1"/>
  <c r="U68" i="1"/>
  <c r="U74" i="1"/>
  <c r="U91" i="1"/>
  <c r="U92" i="1"/>
  <c r="U93" i="1"/>
  <c r="U37" i="1"/>
  <c r="U38" i="1"/>
  <c r="U94" i="1"/>
  <c r="U95" i="1"/>
  <c r="U96" i="1"/>
  <c r="U78" i="1"/>
  <c r="U79" i="1"/>
  <c r="U80" i="1"/>
  <c r="U81" i="1"/>
  <c r="U82" i="1"/>
  <c r="U83" i="1"/>
  <c r="U84" i="1"/>
  <c r="U85" i="1"/>
  <c r="U86" i="1"/>
  <c r="U87" i="1"/>
  <c r="U50" i="1"/>
  <c r="U51" i="1"/>
  <c r="U52" i="1"/>
  <c r="U53" i="1"/>
  <c r="U88" i="1"/>
  <c r="U54" i="1"/>
  <c r="U55" i="1"/>
  <c r="U56" i="1"/>
  <c r="U57" i="1"/>
  <c r="U58" i="1"/>
  <c r="U59" i="1"/>
  <c r="U60" i="1"/>
  <c r="U61" i="1"/>
  <c r="U63" i="1"/>
  <c r="U64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65" i="1"/>
  <c r="T66" i="1"/>
  <c r="T25" i="1"/>
  <c r="T26" i="1"/>
  <c r="T27" i="1"/>
  <c r="T28" i="1"/>
  <c r="T29" i="1"/>
  <c r="T30" i="1"/>
  <c r="T31" i="1"/>
  <c r="T32" i="1"/>
  <c r="T33" i="1"/>
  <c r="T34" i="1"/>
  <c r="T35" i="1"/>
  <c r="T36" i="1"/>
  <c r="X36" i="1" s="1"/>
  <c r="T69" i="1"/>
  <c r="T70" i="1"/>
  <c r="T71" i="1"/>
  <c r="T72" i="1"/>
  <c r="T73" i="1"/>
  <c r="T89" i="1"/>
  <c r="T90" i="1"/>
  <c r="T67" i="1"/>
  <c r="T68" i="1"/>
  <c r="T74" i="1"/>
  <c r="T91" i="1"/>
  <c r="T92" i="1"/>
  <c r="T93" i="1"/>
  <c r="T37" i="1"/>
  <c r="T38" i="1"/>
  <c r="T94" i="1"/>
  <c r="T95" i="1"/>
  <c r="T96" i="1"/>
  <c r="T39" i="1"/>
  <c r="T40" i="1"/>
  <c r="T41" i="1"/>
  <c r="T75" i="1"/>
  <c r="T76" i="1"/>
  <c r="T77" i="1"/>
  <c r="T42" i="1"/>
  <c r="T43" i="1"/>
  <c r="T44" i="1"/>
  <c r="T78" i="1"/>
  <c r="T79" i="1"/>
  <c r="T80" i="1"/>
  <c r="T81" i="1"/>
  <c r="T82" i="1"/>
  <c r="T83" i="1"/>
  <c r="T45" i="1"/>
  <c r="T46" i="1"/>
  <c r="T47" i="1"/>
  <c r="T48" i="1"/>
  <c r="T49" i="1"/>
  <c r="T84" i="1"/>
  <c r="T85" i="1"/>
  <c r="T86" i="1"/>
  <c r="T87" i="1"/>
  <c r="T50" i="1"/>
  <c r="T51" i="1"/>
  <c r="T52" i="1"/>
  <c r="T53" i="1"/>
  <c r="T88" i="1"/>
  <c r="T54" i="1"/>
  <c r="T55" i="1"/>
  <c r="T56" i="1"/>
  <c r="T57" i="1"/>
  <c r="T58" i="1"/>
  <c r="T59" i="1"/>
  <c r="T60" i="1"/>
  <c r="T61" i="1"/>
  <c r="T62" i="1"/>
  <c r="T63" i="1"/>
  <c r="T64" i="1"/>
  <c r="K41" i="1"/>
  <c r="L41" i="1" s="1"/>
  <c r="K40" i="1"/>
  <c r="L40" i="1" s="1"/>
  <c r="K39" i="1"/>
  <c r="U39" i="1" s="1"/>
  <c r="K77" i="1"/>
  <c r="L77" i="1" s="1"/>
  <c r="K76" i="1"/>
  <c r="L76" i="1" s="1"/>
  <c r="K75" i="1"/>
  <c r="L75" i="1" s="1"/>
  <c r="L39" i="1"/>
  <c r="L56" i="1"/>
  <c r="L57" i="1"/>
  <c r="L58" i="1"/>
  <c r="L59" i="1"/>
  <c r="L60" i="1"/>
  <c r="L61" i="1"/>
  <c r="L62" i="1"/>
  <c r="L63" i="1"/>
  <c r="L64" i="1"/>
  <c r="J8" i="7"/>
  <c r="I8" i="7"/>
  <c r="J6" i="7"/>
  <c r="J5" i="7"/>
  <c r="J4" i="7"/>
  <c r="I6" i="7"/>
  <c r="I5" i="7"/>
  <c r="I4" i="7"/>
  <c r="L2" i="1"/>
  <c r="V2" i="1" s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65" i="1"/>
  <c r="L66" i="1"/>
  <c r="L25" i="1"/>
  <c r="L26" i="1"/>
  <c r="L27" i="1"/>
  <c r="L28" i="1"/>
  <c r="L29" i="1"/>
  <c r="L30" i="1"/>
  <c r="L31" i="1"/>
  <c r="L32" i="1"/>
  <c r="L33" i="1"/>
  <c r="L34" i="1"/>
  <c r="L35" i="1"/>
  <c r="L36" i="1"/>
  <c r="L69" i="1"/>
  <c r="L70" i="1"/>
  <c r="L71" i="1"/>
  <c r="L72" i="1"/>
  <c r="L73" i="1"/>
  <c r="L89" i="1"/>
  <c r="L90" i="1"/>
  <c r="L67" i="1"/>
  <c r="L68" i="1"/>
  <c r="L74" i="1"/>
  <c r="L91" i="1"/>
  <c r="L92" i="1"/>
  <c r="L93" i="1"/>
  <c r="L94" i="1"/>
  <c r="L95" i="1"/>
  <c r="L96" i="1"/>
  <c r="L78" i="1"/>
  <c r="L79" i="1"/>
  <c r="L80" i="1"/>
  <c r="L81" i="1"/>
  <c r="L82" i="1"/>
  <c r="L83" i="1"/>
  <c r="L84" i="1"/>
  <c r="L85" i="1"/>
  <c r="L86" i="1"/>
  <c r="L87" i="1"/>
  <c r="L50" i="1"/>
  <c r="L51" i="1"/>
  <c r="L52" i="1"/>
  <c r="L53" i="1"/>
  <c r="L88" i="1"/>
  <c r="L54" i="1"/>
  <c r="L55" i="1"/>
  <c r="H49" i="1"/>
  <c r="W49" i="1" s="1"/>
  <c r="H84" i="1"/>
  <c r="H38" i="1"/>
  <c r="W38" i="1" s="1"/>
  <c r="H80" i="1"/>
  <c r="H37" i="1"/>
  <c r="W37" i="1" s="1"/>
  <c r="H82" i="1"/>
  <c r="H79" i="1"/>
  <c r="H81" i="1"/>
  <c r="H95" i="1"/>
  <c r="H78" i="1"/>
  <c r="H83" i="1"/>
  <c r="H94" i="1"/>
  <c r="H89" i="1"/>
  <c r="H33" i="1"/>
  <c r="H29" i="1"/>
  <c r="W29" i="1" s="1"/>
  <c r="H27" i="1"/>
  <c r="W27" i="1" s="1"/>
  <c r="H28" i="1"/>
  <c r="W28" i="1" s="1"/>
  <c r="H34" i="1"/>
  <c r="H26" i="1"/>
  <c r="S85" i="1"/>
  <c r="X45" i="1" l="1"/>
  <c r="X49" i="1"/>
  <c r="X40" i="1"/>
  <c r="X39" i="1"/>
  <c r="X38" i="1"/>
  <c r="X37" i="1"/>
  <c r="X44" i="1"/>
  <c r="X43" i="1"/>
  <c r="X42" i="1"/>
  <c r="X41" i="1"/>
  <c r="X48" i="1"/>
  <c r="X47" i="1"/>
  <c r="X46" i="1"/>
  <c r="U75" i="1"/>
  <c r="U41" i="1"/>
  <c r="U77" i="1"/>
  <c r="U76" i="1"/>
  <c r="U40" i="1"/>
  <c r="V61" i="1"/>
  <c r="V57" i="1"/>
  <c r="V56" i="1"/>
  <c r="V51" i="1"/>
  <c r="V55" i="1"/>
  <c r="S55" i="1"/>
  <c r="V53" i="1"/>
  <c r="S53" i="1"/>
  <c r="S51" i="1"/>
  <c r="V52" i="1"/>
  <c r="S52" i="1"/>
  <c r="K49" i="1"/>
  <c r="U49" i="1" s="1"/>
  <c r="K48" i="1"/>
  <c r="U48" i="1" s="1"/>
  <c r="K47" i="1"/>
  <c r="U47" i="1" s="1"/>
  <c r="K46" i="1"/>
  <c r="U46" i="1" s="1"/>
  <c r="K45" i="1"/>
  <c r="U45" i="1" s="1"/>
  <c r="K44" i="1"/>
  <c r="U44" i="1" s="1"/>
  <c r="K43" i="1"/>
  <c r="U43" i="1" s="1"/>
  <c r="K42" i="1"/>
  <c r="U42" i="1" s="1"/>
  <c r="V75" i="1"/>
  <c r="V41" i="1"/>
  <c r="V40" i="1"/>
  <c r="V39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65" i="1"/>
  <c r="V66" i="1"/>
  <c r="V25" i="1"/>
  <c r="V26" i="1"/>
  <c r="V27" i="1"/>
  <c r="V28" i="1"/>
  <c r="V29" i="1"/>
  <c r="V30" i="1"/>
  <c r="V31" i="1"/>
  <c r="V32" i="1"/>
  <c r="V33" i="1"/>
  <c r="V34" i="1"/>
  <c r="V35" i="1"/>
  <c r="V36" i="1"/>
  <c r="V69" i="1"/>
  <c r="V70" i="1"/>
  <c r="V71" i="1"/>
  <c r="V72" i="1"/>
  <c r="V73" i="1"/>
  <c r="V89" i="1"/>
  <c r="V90" i="1"/>
  <c r="V67" i="1"/>
  <c r="V68" i="1"/>
  <c r="V74" i="1"/>
  <c r="V91" i="1"/>
  <c r="V92" i="1"/>
  <c r="V93" i="1"/>
  <c r="V37" i="1"/>
  <c r="V38" i="1"/>
  <c r="V94" i="1"/>
  <c r="V95" i="1"/>
  <c r="V96" i="1"/>
  <c r="V78" i="1"/>
  <c r="V79" i="1"/>
  <c r="V80" i="1"/>
  <c r="V81" i="1"/>
  <c r="V82" i="1"/>
  <c r="V83" i="1"/>
  <c r="V84" i="1"/>
  <c r="V85" i="1"/>
  <c r="V86" i="1"/>
  <c r="V87" i="1"/>
  <c r="V50" i="1"/>
  <c r="V88" i="1"/>
  <c r="V54" i="1"/>
  <c r="V58" i="1"/>
  <c r="V60" i="1"/>
  <c r="V64" i="1"/>
  <c r="V63" i="1"/>
  <c r="V62" i="1"/>
  <c r="H60" i="1"/>
  <c r="W60" i="1" s="1"/>
  <c r="H58" i="1"/>
  <c r="W58" i="1" s="1"/>
  <c r="S60" i="1"/>
  <c r="S58" i="1"/>
  <c r="H59" i="1"/>
  <c r="W59" i="1" s="1"/>
  <c r="X59" i="1" s="1"/>
  <c r="S59" i="1"/>
  <c r="H64" i="1"/>
  <c r="W64" i="1" s="1"/>
  <c r="X64" i="1" s="1"/>
  <c r="H63" i="1"/>
  <c r="W63" i="1" s="1"/>
  <c r="X63" i="1" s="1"/>
  <c r="H62" i="1"/>
  <c r="W62" i="1" s="1"/>
  <c r="X62" i="1" s="1"/>
  <c r="H61" i="1"/>
  <c r="W61" i="1" s="1"/>
  <c r="X61" i="1" s="1"/>
  <c r="H57" i="1"/>
  <c r="W57" i="1" s="1"/>
  <c r="X57" i="1" s="1"/>
  <c r="H56" i="1"/>
  <c r="W56" i="1" s="1"/>
  <c r="X56" i="1" s="1"/>
  <c r="L43" i="1" l="1"/>
  <c r="V43" i="1" s="1"/>
  <c r="L44" i="1"/>
  <c r="V44" i="1" s="1"/>
  <c r="L45" i="1"/>
  <c r="V45" i="1" s="1"/>
  <c r="L46" i="1"/>
  <c r="V46" i="1" s="1"/>
  <c r="L49" i="1"/>
  <c r="V49" i="1" s="1"/>
  <c r="L42" i="1"/>
  <c r="V42" i="1" s="1"/>
  <c r="L47" i="1"/>
  <c r="V47" i="1" s="1"/>
  <c r="L48" i="1"/>
  <c r="V48" i="1" s="1"/>
  <c r="V59" i="1"/>
  <c r="S64" i="1"/>
  <c r="S63" i="1"/>
  <c r="S62" i="1"/>
  <c r="S61" i="1"/>
  <c r="S57" i="1"/>
  <c r="S56" i="1"/>
  <c r="S54" i="1"/>
  <c r="S88" i="1"/>
  <c r="S50" i="1"/>
  <c r="H85" i="1"/>
  <c r="H86" i="1"/>
  <c r="H87" i="1"/>
  <c r="S87" i="1" l="1"/>
  <c r="S86" i="1"/>
  <c r="S84" i="1"/>
  <c r="S49" i="1"/>
  <c r="S48" i="1"/>
  <c r="S47" i="1"/>
  <c r="S46" i="1"/>
  <c r="S45" i="1"/>
  <c r="S83" i="1"/>
  <c r="S82" i="1"/>
  <c r="B9" i="5"/>
  <c r="S81" i="1"/>
  <c r="S80" i="1"/>
  <c r="S79" i="1"/>
  <c r="S78" i="1"/>
  <c r="S44" i="1"/>
  <c r="S43" i="1"/>
  <c r="S42" i="1"/>
  <c r="H67" i="1"/>
  <c r="W67" i="1" s="1"/>
  <c r="H68" i="1"/>
  <c r="W68" i="1" s="1"/>
  <c r="H90" i="1"/>
  <c r="S75" i="1"/>
  <c r="S76" i="1"/>
  <c r="S77" i="1"/>
  <c r="S41" i="1"/>
  <c r="S40" i="1"/>
  <c r="S39" i="1"/>
  <c r="V77" i="1" l="1"/>
  <c r="V76" i="1"/>
  <c r="B6" i="5"/>
  <c r="B7" i="5"/>
  <c r="B3" i="5"/>
  <c r="S96" i="1"/>
  <c r="S95" i="1"/>
  <c r="S94" i="1"/>
  <c r="S38" i="1"/>
  <c r="S37" i="1"/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65" i="1"/>
  <c r="S66" i="1"/>
  <c r="S25" i="1"/>
  <c r="S26" i="1"/>
  <c r="S27" i="1"/>
  <c r="S28" i="1"/>
  <c r="S29" i="1"/>
  <c r="S30" i="1"/>
  <c r="S31" i="1"/>
  <c r="S32" i="1"/>
  <c r="S33" i="1"/>
  <c r="S34" i="1"/>
  <c r="S35" i="1"/>
  <c r="S36" i="1"/>
  <c r="S69" i="1"/>
  <c r="S70" i="1"/>
  <c r="S71" i="1"/>
  <c r="S72" i="1"/>
  <c r="S73" i="1"/>
  <c r="S89" i="1"/>
  <c r="S90" i="1"/>
  <c r="S67" i="1"/>
  <c r="S68" i="1"/>
  <c r="S74" i="1"/>
  <c r="S91" i="1"/>
  <c r="S92" i="1"/>
  <c r="S93" i="1"/>
  <c r="S2" i="1"/>
  <c r="H73" i="1"/>
  <c r="H71" i="1"/>
  <c r="H72" i="1" l="1"/>
  <c r="H70" i="1"/>
  <c r="H6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tc={DCF17029-1620-4FCE-A9BC-FB71284EB7A4}</author>
    <author>tc={4F194D2B-7541-4898-97C3-0FF70D21BFE7}</author>
    <author>tc={EB98DBE9-81AC-4B56-879E-E12273952174}</author>
    <author>tc={8BF4EDFB-5DAC-4AC4-8A54-E264DE95D4AD}</author>
    <author>tc={A9106CB8-8CE4-46FE-A34E-D4D67399F5F4}</author>
    <author>tc={787B8C62-0619-4561-92BB-2154C6982025}</author>
    <author>tc={45C538A0-C9F6-4583-BC5C-BF09E2AE5C6C}</author>
    <author>tc={AE61E788-2E2C-4C24-B49F-DBA09DF7CF24}</author>
    <author>tc={82E2F524-B5AF-4611-8C8B-7CAAFF6B6F65}</author>
    <author>tc={459D626F-A335-4DB0-9B70-EBA9C88052B4}</author>
    <author>tc={9FBD154C-DE2E-40B8-B4FD-8B6F313F98BB}</author>
    <author>tc={7629C1AA-17C4-42BF-A9D3-63AA513A4BB2}</author>
    <author>tc={DAC4E650-A40A-49F9-9697-2CD571D13143}</author>
    <author>tc={DCC583AA-60C4-4C17-B2AE-862F60EB9C00}</author>
    <author>tc={5E290B5B-E41E-4B78-B1BB-9279A26CB78F}</author>
    <author>tc={B9684983-0DB9-4A41-B7F4-3D3094F53C49}</author>
    <author>tc={5FFC8E40-3CC4-4F23-A834-1A7BED990C5E}</author>
    <author>tc={EBE99A91-2E81-455C-B908-288E96C61159}</author>
  </authors>
  <commentList>
    <comment ref="H26" authorId="0" shapeId="0" xr:uid="{DCF17029-1620-4FCE-A9BC-FB71284EB7A4}">
      <text>
        <t>[Threaded comment]
Your version of Excel allows you to read this threaded comment; however, any edits to it will get removed if the file is opened in a newer version of Excel. Learn more: https://go.microsoft.com/fwlink/?linkid=870924
Comment:
    Midpoint assumed from average</t>
      </text>
    </comment>
    <comment ref="H27" authorId="1" shapeId="0" xr:uid="{4F194D2B-7541-4898-97C3-0FF70D21BFE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Midpoint assumed from average
</t>
      </text>
    </comment>
    <comment ref="H28" authorId="2" shapeId="0" xr:uid="{EB98DBE9-81AC-4B56-879E-E1227395217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Midpoint assumed from average
</t>
      </text>
    </comment>
    <comment ref="H29" authorId="3" shapeId="0" xr:uid="{8BF4EDFB-5DAC-4AC4-8A54-E264DE95D4A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Midpoint assumed from average
</t>
      </text>
    </comment>
    <comment ref="H33" authorId="4" shapeId="0" xr:uid="{A9106CB8-8CE4-46FE-A34E-D4D67399F5F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Midpoint assumed from average
</t>
      </text>
    </comment>
    <comment ref="H34" authorId="5" shapeId="0" xr:uid="{787B8C62-0619-4561-92BB-2154C698202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Midpoint assumed from average
</t>
      </text>
    </comment>
    <comment ref="H56" authorId="6" shapeId="0" xr:uid="{45C538A0-C9F6-4583-BC5C-BF09E2AE5C6C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g/L to %Li</t>
      </text>
    </comment>
    <comment ref="K59" authorId="7" shapeId="0" xr:uid="{AE61E788-2E2C-4C24-B49F-DBA09DF7CF24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SI, DLE table S2 and S3</t>
      </text>
    </comment>
    <comment ref="K61" authorId="8" shapeId="0" xr:uid="{82E2F524-B5AF-4611-8C8B-7CAAFF6B6F6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Based on SI, DLE table S2 and S3
</t>
      </text>
    </comment>
    <comment ref="K64" authorId="9" shapeId="0" xr:uid="{459D626F-A335-4DB0-9B70-EBA9C88052B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Based on SI, DLE table S2 and S3
</t>
      </text>
    </comment>
    <comment ref="H69" authorId="10" shapeId="0" xr:uid="{9FBD154C-DE2E-40B8-B4FD-8B6F313F98BB}">
      <text>
        <t>[Threaded comment]
Your version of Excel allows you to read this threaded comment; however, any edits to it will get removed if the file is opened in a newer version of Excel. Learn more: https://go.microsoft.com/fwlink/?linkid=870924
Comment:
    Converted from %Li2O to %Li</t>
      </text>
    </comment>
    <comment ref="H78" authorId="11" shapeId="0" xr:uid="{7629C1AA-17C4-42BF-A9D3-63AA513A4BB2}">
      <text>
        <t>[Threaded comment]
Your version of Excel allows you to read this threaded comment; however, any edits to it will get removed if the file is opened in a newer version of Excel. Learn more: https://go.microsoft.com/fwlink/?linkid=870924
Comment:
    Converted from %Li2O to %Li</t>
      </text>
    </comment>
    <comment ref="H80" authorId="12" shapeId="0" xr:uid="{DAC4E650-A40A-49F9-9697-2CD571D13143}">
      <text>
        <t>[Threaded comment]
Your version of Excel allows you to read this threaded comment; however, any edits to it will get removed if the file is opened in a newer version of Excel. Learn more: https://go.microsoft.com/fwlink/?linkid=870924
Comment:
    Converted from %Li2O to %Li</t>
      </text>
    </comment>
    <comment ref="H81" authorId="13" shapeId="0" xr:uid="{DCC583AA-60C4-4C17-B2AE-862F60EB9C00}">
      <text>
        <t>[Threaded comment]
Your version of Excel allows you to read this threaded comment; however, any edits to it will get removed if the file is opened in a newer version of Excel. Learn more: https://go.microsoft.com/fwlink/?linkid=870924
Comment:
    Converted from %Li2O to %Li</t>
      </text>
    </comment>
    <comment ref="H85" authorId="14" shapeId="0" xr:uid="{5E290B5B-E41E-4B78-B1BB-9279A26CB78F}">
      <text>
        <t>[Threaded comment]
Your version of Excel allows you to read this threaded comment; however, any edits to it will get removed if the file is opened in a newer version of Excel. Learn more: https://go.microsoft.com/fwlink/?linkid=870924
Comment:
    Converted from %Li2O to %Li</t>
      </text>
    </comment>
    <comment ref="H86" authorId="15" shapeId="0" xr:uid="{B9684983-0DB9-4A41-B7F4-3D3094F53C49}">
      <text>
        <t>[Threaded comment]
Your version of Excel allows you to read this threaded comment; however, any edits to it will get removed if the file is opened in a newer version of Excel. Learn more: https://go.microsoft.com/fwlink/?linkid=870924
Comment:
    Converted from %Li2O to %Li</t>
      </text>
    </comment>
    <comment ref="H87" authorId="16" shapeId="0" xr:uid="{5FFC8E40-3CC4-4F23-A834-1A7BED990C5E}">
      <text>
        <t>[Threaded comment]
Your version of Excel allows you to read this threaded comment; however, any edits to it will get removed if the file is opened in a newer version of Excel. Learn more: https://go.microsoft.com/fwlink/?linkid=870924
Comment:
    Converted from %Li2O to %Li</t>
      </text>
    </comment>
    <comment ref="H94" authorId="17" shapeId="0" xr:uid="{EBE99A91-2E81-455C-B908-288E96C61159}">
      <text>
        <t>[Threaded comment]
Your version of Excel allows you to read this threaded comment; however, any edits to it will get removed if the file is opened in a newer version of Excel. Learn more: https://go.microsoft.com/fwlink/?linkid=870924
Comment:
    Midpoint assumed from average</t>
      </text>
    </comment>
  </commentList>
</comments>
</file>

<file path=xl/sharedStrings.xml><?xml version="1.0" encoding="utf-8"?>
<sst xmlns="http://schemas.openxmlformats.org/spreadsheetml/2006/main" count="1090" uniqueCount="256">
  <si>
    <t>Deposit</t>
  </si>
  <si>
    <t>Year</t>
  </si>
  <si>
    <t>ID</t>
  </si>
  <si>
    <r>
      <t>Schenker, Vanessa, and Stephan Pfister. "Current and Future Impacts of Lithium Carbonate from Brines: A Global Regionalized Life Cycle Assessment Model." </t>
    </r>
    <r>
      <rPr>
        <i/>
        <sz val="7"/>
        <color rgb="FF222222"/>
        <rFont val="Arial"/>
        <family val="2"/>
      </rPr>
      <t>Environmental Science &amp; Technology</t>
    </r>
    <r>
      <rPr>
        <sz val="7"/>
        <color rgb="FF222222"/>
        <rFont val="Arial"/>
        <family val="2"/>
      </rPr>
      <t> 59.13 (2025): 6543-6555.</t>
    </r>
  </si>
  <si>
    <t>Atacama</t>
  </si>
  <si>
    <t>Tres Quebradas</t>
  </si>
  <si>
    <t>Maricunga</t>
  </si>
  <si>
    <t>Sal de Vida</t>
  </si>
  <si>
    <t>Hombre Muerto North</t>
  </si>
  <si>
    <t>Cauchari-Olaroz</t>
  </si>
  <si>
    <t>Pastos Grandes</t>
  </si>
  <si>
    <t>Olaroz</t>
  </si>
  <si>
    <t>Silver Peak</t>
  </si>
  <si>
    <t>Uyuni</t>
  </si>
  <si>
    <t>Fenix</t>
  </si>
  <si>
    <t>Rio Grande</t>
  </si>
  <si>
    <t>Centenario</t>
  </si>
  <si>
    <t>Rincon</t>
  </si>
  <si>
    <t>Tolillar</t>
  </si>
  <si>
    <t>Arizaro</t>
  </si>
  <si>
    <t>Antofalla</t>
  </si>
  <si>
    <t>Salinas Grandes</t>
  </si>
  <si>
    <t>Kachi</t>
  </si>
  <si>
    <t>Los Angeles</t>
  </si>
  <si>
    <t>Pozuelos</t>
  </si>
  <si>
    <t>Chaerhan</t>
  </si>
  <si>
    <t>Qinghai Yiliping</t>
  </si>
  <si>
    <t>Upper Rhine Graben</t>
  </si>
  <si>
    <t>Grade ore Li%</t>
  </si>
  <si>
    <t>Unit num</t>
  </si>
  <si>
    <t>Unit den</t>
  </si>
  <si>
    <t>Detail</t>
  </si>
  <si>
    <t>kg</t>
  </si>
  <si>
    <t>kg LCE</t>
  </si>
  <si>
    <t>kg LCE Battery grade</t>
  </si>
  <si>
    <t>Conventional chemical-based technology</t>
  </si>
  <si>
    <t>conventional ion exchanger technology</t>
  </si>
  <si>
    <t>DLE technology from continental brines</t>
  </si>
  <si>
    <t>Salton Sea</t>
  </si>
  <si>
    <t>DLE technology from geothermal brines</t>
  </si>
  <si>
    <t>Water type</t>
  </si>
  <si>
    <t>Freshwater consumption</t>
  </si>
  <si>
    <t>Ref_Water</t>
  </si>
  <si>
    <t>Name</t>
  </si>
  <si>
    <t>Schenker &amp; Pfister (2025)</t>
  </si>
  <si>
    <t>Full cite</t>
  </si>
  <si>
    <t>DOI</t>
  </si>
  <si>
    <t>https://doi.org/10.1021/acs.est.4c12619</t>
  </si>
  <si>
    <r>
      <t>Lagos, G., Cifuentes, L., Peters, D., Castro, L., &amp; Valdés, J. M. (2024). Carbon footprint and water inventory of the production of lithium in the Atacama Salt Flat, Chile. </t>
    </r>
    <r>
      <rPr>
        <i/>
        <sz val="7"/>
        <color rgb="FF222222"/>
        <rFont val="Arial"/>
        <family val="2"/>
      </rPr>
      <t>Environmental Challenges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16</t>
    </r>
    <r>
      <rPr>
        <sz val="7"/>
        <color rgb="FF222222"/>
        <rFont val="Arial"/>
        <family val="2"/>
      </rPr>
      <t>, 100962.</t>
    </r>
  </si>
  <si>
    <t>Lagos et al. (2024)</t>
  </si>
  <si>
    <t>https://doi.org/10.1016/j.envc.2024.100962</t>
  </si>
  <si>
    <t>Ref_grade</t>
  </si>
  <si>
    <t>liters</t>
  </si>
  <si>
    <t>ton LCE</t>
  </si>
  <si>
    <t>Brine + Chemical plant</t>
  </si>
  <si>
    <r>
      <t>Feng, Y., Feng, D., Sun, X., Liu, Z., Li, W., &amp; Wang, P. (2025). Environmental Impacts of Lithium Brines Across the World: Brine Quality, Technology Choices and Regional Disparities. </t>
    </r>
    <r>
      <rPr>
        <i/>
        <sz val="7"/>
        <color rgb="FF222222"/>
        <rFont val="Arial"/>
        <family val="2"/>
      </rPr>
      <t>ACS Sustainable Chemistry &amp; Engineering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13</t>
    </r>
    <r>
      <rPr>
        <sz val="7"/>
        <color rgb="FF222222"/>
        <rFont val="Arial"/>
        <family val="2"/>
      </rPr>
      <t>(38), 15828-15838.</t>
    </r>
  </si>
  <si>
    <t>Feng et al. (2025)</t>
  </si>
  <si>
    <t>Qarhan</t>
  </si>
  <si>
    <t>Da Qaidam</t>
  </si>
  <si>
    <t>Hombre Muerto</t>
  </si>
  <si>
    <t>Yiliping</t>
  </si>
  <si>
    <t>Barunma Sea</t>
  </si>
  <si>
    <t>East Tajinar</t>
  </si>
  <si>
    <t>West Tajinar</t>
  </si>
  <si>
    <t>Ground+Surface water. LCA based</t>
  </si>
  <si>
    <t>m3</t>
  </si>
  <si>
    <t>Precipitation</t>
  </si>
  <si>
    <t>Electrodialysis</t>
  </si>
  <si>
    <t>Solvent extraction</t>
  </si>
  <si>
    <t>Membrane</t>
  </si>
  <si>
    <t>Adsorption+Precipitation</t>
  </si>
  <si>
    <t>Adsorption+Membrane</t>
  </si>
  <si>
    <t>Calcination</t>
  </si>
  <si>
    <r>
      <t>Feng, Y., Wang, P., Li, W., Zhang, Q., Chen, W. Q., &amp; Feng, D. (2024). Environmental impacts of lithium supply chains from Australia to China. </t>
    </r>
    <r>
      <rPr>
        <i/>
        <sz val="7"/>
        <color rgb="FF222222"/>
        <rFont val="Arial"/>
        <family val="2"/>
      </rPr>
      <t>Environmental Research Letters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19</t>
    </r>
    <r>
      <rPr>
        <sz val="7"/>
        <color rgb="FF222222"/>
        <rFont val="Arial"/>
        <family val="2"/>
      </rPr>
      <t>(9), 094035.</t>
    </r>
  </si>
  <si>
    <t>Feng et al. (2024)</t>
  </si>
  <si>
    <t>10.1088/1748-9326/ad69ac</t>
  </si>
  <si>
    <t>Greenbushes</t>
  </si>
  <si>
    <t>Mt Cattlin</t>
  </si>
  <si>
    <t>Mt Marion</t>
  </si>
  <si>
    <t>Mt Wodgina</t>
  </si>
  <si>
    <t>Pilgangoora</t>
  </si>
  <si>
    <t>Hard rock + LCE conversion</t>
  </si>
  <si>
    <t>GREET</t>
  </si>
  <si>
    <t>ecoinvent</t>
  </si>
  <si>
    <r>
      <t>Iyer, R. K., &amp; Kelly, J. C. (2024). Life-cycle analysis of lithium chemical production in the United States. </t>
    </r>
    <r>
      <rPr>
        <i/>
        <sz val="7"/>
        <color rgb="FF222222"/>
        <rFont val="Arial"/>
        <family val="2"/>
      </rPr>
      <t>RSC Sustainability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2</t>
    </r>
    <r>
      <rPr>
        <sz val="7"/>
        <color rgb="FF222222"/>
        <rFont val="Arial"/>
        <family val="2"/>
      </rPr>
      <t>(12), 3929-3945.</t>
    </r>
  </si>
  <si>
    <t>Iyer &amp; Kelly (2024)</t>
  </si>
  <si>
    <t>https://doi.org/10.1039/D4SU00446A</t>
  </si>
  <si>
    <t>Thacker Pass</t>
  </si>
  <si>
    <t>Tonopah lithium</t>
  </si>
  <si>
    <t>Smackover Arkansas</t>
  </si>
  <si>
    <t>SW Arkansas</t>
  </si>
  <si>
    <t>https://doi.org/10.1016/j.resconrec.2025.108592</t>
  </si>
  <si>
    <r>
      <t>Iyer, R. K., Kelly, J. C., &amp; Wang, M. (2026). Life-cycle greenhouse gas emissions analysis of battery-grade lithium production in Finland. </t>
    </r>
    <r>
      <rPr>
        <i/>
        <sz val="7"/>
        <color rgb="FF222222"/>
        <rFont val="Arial"/>
        <family val="2"/>
      </rPr>
      <t>Resources, Conservation and Recycling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225</t>
    </r>
    <r>
      <rPr>
        <sz val="7"/>
        <color rgb="FF222222"/>
        <rFont val="Arial"/>
        <family val="2"/>
      </rPr>
      <t>, 108592.</t>
    </r>
  </si>
  <si>
    <t>Iyer, Kelly &amp; Wang (2026)</t>
  </si>
  <si>
    <t>kg LiOH.H2O</t>
  </si>
  <si>
    <t>Keliber-Syvajarvi (Finland)</t>
  </si>
  <si>
    <t>GREET authors</t>
  </si>
  <si>
    <r>
      <t>Khakmardan, S., Li, W., Giurco, D., &amp; Crawford, R. (2024). Life cycle assessment of lithium carbonate production: Comparing sedimentary deposits. </t>
    </r>
    <r>
      <rPr>
        <i/>
        <sz val="7"/>
        <color rgb="FF222222"/>
        <rFont val="Arial"/>
        <family val="2"/>
      </rPr>
      <t>Journal of Cleaner Production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467</t>
    </r>
    <r>
      <rPr>
        <sz val="7"/>
        <color rgb="FF222222"/>
        <rFont val="Arial"/>
        <family val="2"/>
      </rPr>
      <t>, 142955.</t>
    </r>
  </si>
  <si>
    <t>Khakmardan et al. (2024)</t>
  </si>
  <si>
    <t>https://doi.org/10.1016/j.jclepro.2024.142955</t>
  </si>
  <si>
    <t>Sonora</t>
  </si>
  <si>
    <t>Falchani</t>
  </si>
  <si>
    <t>Ref_Water2</t>
  </si>
  <si>
    <r>
      <t>Paz, W. F. D., Seghezzo, L., Barboza, A. G. S., Escosteguy, M., Arias-Alvarado, P. V., Kruse, E., ... &amp; Iribarnegaray, M. A. (2025). The water footprint of lithium extraction technologies: Insights from environmental impact reports in Argentina's salt flats. </t>
    </r>
    <r>
      <rPr>
        <i/>
        <sz val="7"/>
        <color rgb="FF222222"/>
        <rFont val="Arial"/>
        <family val="2"/>
      </rPr>
      <t>Heliyon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11</t>
    </r>
    <r>
      <rPr>
        <sz val="7"/>
        <color rgb="FF222222"/>
        <rFont val="Arial"/>
        <family val="2"/>
      </rPr>
      <t>(4).</t>
    </r>
  </si>
  <si>
    <t>Paz et al. (2025)</t>
  </si>
  <si>
    <t>https://doi.org/10.1016/j.heliyon.2025.e42523</t>
  </si>
  <si>
    <t>ton LCE Battery Grade</t>
  </si>
  <si>
    <t>Nevada sedimentary projects</t>
  </si>
  <si>
    <t>https://doi.org/10.1016/j.resconrec.2025.108271</t>
  </si>
  <si>
    <r>
      <t>Mousavinezhad, S., Fahimi, A., Sharifian, S., &amp; Vahidi, E. (2025). Sustainable lithium production from sedimentary rock deposits: Carbon reduction and EV synergies. </t>
    </r>
    <r>
      <rPr>
        <i/>
        <sz val="7"/>
        <color rgb="FF222222"/>
        <rFont val="Arial"/>
        <family val="2"/>
      </rPr>
      <t>Resources, Conservation and Recycling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218</t>
    </r>
    <r>
      <rPr>
        <sz val="7"/>
        <color rgb="FF222222"/>
        <rFont val="Arial"/>
        <family val="2"/>
      </rPr>
      <t>, 108271.</t>
    </r>
  </si>
  <si>
    <t>Mousavinezhad et al. (2025)</t>
  </si>
  <si>
    <t>Mc Dermitt Caldera</t>
  </si>
  <si>
    <t>Include</t>
  </si>
  <si>
    <t>Nevada clay</t>
  </si>
  <si>
    <t>https://doi.org/10.1016/j.spc.2024.11.008</t>
  </si>
  <si>
    <r>
      <t>Roy, V., Paranthaman, M. P., &amp; Zhao, F. (2024). Lithium from clay: Assessing the environmental impacts of extraction. </t>
    </r>
    <r>
      <rPr>
        <i/>
        <sz val="7"/>
        <color rgb="FF222222"/>
        <rFont val="Arial"/>
        <family val="2"/>
      </rPr>
      <t>Sustainable Production and Consumption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52</t>
    </r>
    <r>
      <rPr>
        <sz val="7"/>
        <color rgb="FF222222"/>
        <rFont val="Arial"/>
        <family val="2"/>
      </rPr>
      <t>, 324-332.</t>
    </r>
  </si>
  <si>
    <t>Roy et al. (2024)</t>
  </si>
  <si>
    <t>Comb</t>
  </si>
  <si>
    <t>Factor_m3/tonLCE</t>
  </si>
  <si>
    <t>kg/kg LCE Battery grade</t>
  </si>
  <si>
    <t>liters/ton LCE</t>
  </si>
  <si>
    <t>m3/ton LCE</t>
  </si>
  <si>
    <t>kg/kg LCE</t>
  </si>
  <si>
    <t>kg/kg LiOH.H2O</t>
  </si>
  <si>
    <t>kg/ton LCE</t>
  </si>
  <si>
    <t>m3/ton LCE Battery Grade</t>
  </si>
  <si>
    <t>Salar de Atacama (SQM)</t>
  </si>
  <si>
    <t>Salar de Maricunga</t>
  </si>
  <si>
    <t>Hombre Muerto North (Lithium South)</t>
  </si>
  <si>
    <t>Pastos Grandes (Lithium Americas)</t>
  </si>
  <si>
    <t>Salar de Olaroz (Allkem)</t>
  </si>
  <si>
    <t>Salar de Uyuni</t>
  </si>
  <si>
    <t>Centenario Ratones</t>
  </si>
  <si>
    <t>Salar del Rincon (Rio Tinto)</t>
  </si>
  <si>
    <t>Diablillios/Sal de Los Angeles</t>
  </si>
  <si>
    <t>Pozuelos-Pastos Grandes (Pluspetrol)</t>
  </si>
  <si>
    <t>Upper Rhine Valley</t>
  </si>
  <si>
    <t>Salton Sea (All)</t>
  </si>
  <si>
    <t>Qaidam Basin (All Projects)</t>
  </si>
  <si>
    <t>Salar del Hombre Muerto (POSCO)</t>
  </si>
  <si>
    <t>Mt. Cattlin</t>
  </si>
  <si>
    <t>Mt. Marion</t>
  </si>
  <si>
    <t>Wodgina</t>
  </si>
  <si>
    <t>Smackover LANXESS</t>
  </si>
  <si>
    <t>Smackover SWA</t>
  </si>
  <si>
    <t>Ostrobothnia (All Projects)</t>
  </si>
  <si>
    <t>Li Article</t>
  </si>
  <si>
    <t>Type</t>
  </si>
  <si>
    <t>Brine</t>
  </si>
  <si>
    <t>Hard Rock</t>
  </si>
  <si>
    <t>Volcano-Sedimentary</t>
  </si>
  <si>
    <t>Brine (Geothermal)</t>
  </si>
  <si>
    <t>https://doi.org/10.1021/acssuschemeng.5c03739</t>
  </si>
  <si>
    <t>Brine (Oilfield)</t>
  </si>
  <si>
    <t>DLE</t>
  </si>
  <si>
    <t>No</t>
  </si>
  <si>
    <t>Yes</t>
  </si>
  <si>
    <t>https://www.standardlithium.com/projects/smackover/south-west-arkansas/</t>
  </si>
  <si>
    <t>Brine high grade</t>
  </si>
  <si>
    <t>Brine low grade</t>
  </si>
  <si>
    <t>Brine medium grade</t>
  </si>
  <si>
    <r>
      <t>Mas-Fons, A., Arduin, R. H., Loubet, P., Pereira, T., Parvez, A. M., &amp; Sonnemann, G. (2024). Carbon and water footprint of battery-grade lithium from brine and spodumene: A simulation-based LCA. </t>
    </r>
    <r>
      <rPr>
        <i/>
        <sz val="7"/>
        <color rgb="FF222222"/>
        <rFont val="Arial"/>
        <family val="2"/>
      </rPr>
      <t>Journal of Cleaner Production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452</t>
    </r>
    <r>
      <rPr>
        <sz val="7"/>
        <color rgb="FF222222"/>
        <rFont val="Arial"/>
        <family val="2"/>
      </rPr>
      <t>, 142108.</t>
    </r>
  </si>
  <si>
    <t>Mas-Fons et al. (2024)</t>
  </si>
  <si>
    <t>https://doi.org/10.1016/j.jclepro.2024.142108</t>
  </si>
  <si>
    <t>Hard rock high grade</t>
  </si>
  <si>
    <t>Hard rock medium grade</t>
  </si>
  <si>
    <t>Hard rock low grade</t>
  </si>
  <si>
    <t>TLC</t>
  </si>
  <si>
    <t>https://americanlithiumcorp.com/wp-content/uploads/2023/05/PEA-Report-TLC.pdf</t>
  </si>
  <si>
    <t>https://d1io3yog0oux5.cloudfront.net/_e12729a50f616d58cd7c2cccd794fa27/standardlithium/files/pages/standardlithium/db/368/description/Phase1A_-_Definitive_Feasibility_Study_2023.10.18.pdf</t>
  </si>
  <si>
    <t>Notes</t>
  </si>
  <si>
    <t>Good data on SI on LI deposit grade ore</t>
  </si>
  <si>
    <t>Sun et al. (2024)</t>
  </si>
  <si>
    <r>
      <t>Sun, X., Giljum, S., Maus, V., Schomberg, A., Zhang, S., &amp; You, F. (2025). Robust assessments of lithium mining impacts embodied in global supply chain require spatially explicit analyses. </t>
    </r>
    <r>
      <rPr>
        <i/>
        <sz val="7"/>
        <color rgb="FF222222"/>
        <rFont val="Arial"/>
        <family val="2"/>
      </rPr>
      <t>Environmental Science &amp; Technology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59</t>
    </r>
    <r>
      <rPr>
        <sz val="7"/>
        <color rgb="FF222222"/>
        <rFont val="Arial"/>
        <family val="2"/>
      </rPr>
      <t>(14), 7081-7094.</t>
    </r>
  </si>
  <si>
    <t>10.1021/acs.est.4c12749</t>
  </si>
  <si>
    <t>ton Li</t>
  </si>
  <si>
    <t>Freshwater + Brine water</t>
  </si>
  <si>
    <t>Freshwater</t>
  </si>
  <si>
    <t>m3/ton Li</t>
  </si>
  <si>
    <t>Bald Hill</t>
  </si>
  <si>
    <t>Xitai Jinaier</t>
  </si>
  <si>
    <t>Dongtai Jinaier</t>
  </si>
  <si>
    <t>Zabuye</t>
  </si>
  <si>
    <t>Nemaska Lithium</t>
  </si>
  <si>
    <t>Grota do Cirilo</t>
  </si>
  <si>
    <t>Mina do Barroso</t>
  </si>
  <si>
    <t>Arcadia</t>
  </si>
  <si>
    <t>Machine learning</t>
  </si>
  <si>
    <t>Originally from Schenker 2022, ecoinvent and Kelly 2021</t>
  </si>
  <si>
    <t>Grota de Cirilo ( Xuxa)</t>
  </si>
  <si>
    <t>Mina Do Barroso</t>
  </si>
  <si>
    <t>Originally from Chordia 2022</t>
  </si>
  <si>
    <t>Grand Total</t>
  </si>
  <si>
    <t>Sum of Grade ore Li%</t>
  </si>
  <si>
    <t>Orquera et al. (2026)</t>
  </si>
  <si>
    <t>https://doi.org/10.1016/j.resconrec.2025.108677</t>
  </si>
  <si>
    <t>Chile</t>
  </si>
  <si>
    <t>Argentina</t>
  </si>
  <si>
    <t>Bolivia</t>
  </si>
  <si>
    <t>Brazil</t>
  </si>
  <si>
    <t>ton</t>
  </si>
  <si>
    <t>They have  technological progress scenario. It also has land impact.</t>
  </si>
  <si>
    <t>ton/ton LCE</t>
  </si>
  <si>
    <t>Reason_Exclusion</t>
  </si>
  <si>
    <t>Country averages</t>
  </si>
  <si>
    <r>
      <t>Orquera, E., Xu, G., Werner, T., Northey, S., Tiku, O., Giurco, D., &amp; Matsubae, K. (2026). Lithium in Latin America: A dynamic material flow analysis and mapping CO2, water, and land footprints to 2050. </t>
    </r>
    <r>
      <rPr>
        <i/>
        <sz val="7"/>
        <color rgb="FF222222"/>
        <rFont val="Arial"/>
        <family val="2"/>
      </rPr>
      <t>Resources, Conservation and Recycling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226</t>
    </r>
    <r>
      <rPr>
        <sz val="7"/>
        <color rgb="FF222222"/>
        <rFont val="Arial"/>
        <family val="2"/>
      </rPr>
      <t>, 108677.</t>
    </r>
  </si>
  <si>
    <r>
      <t>Vera, M. L., Torres, W. R., Galli, C. I., Chagnes, A., &amp; Flexer, V. (2023). Environmental impact of direct lithium extraction from brines. </t>
    </r>
    <r>
      <rPr>
        <i/>
        <sz val="7"/>
        <color rgb="FF222222"/>
        <rFont val="Arial"/>
        <family val="2"/>
      </rPr>
      <t>Nature Reviews Earth &amp; Environment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4</t>
    </r>
    <r>
      <rPr>
        <sz val="7"/>
        <color rgb="FF222222"/>
        <rFont val="Arial"/>
        <family val="2"/>
      </rPr>
      <t>(3), 149-165.</t>
    </r>
  </si>
  <si>
    <t>Vera et al. (2023)</t>
  </si>
  <si>
    <t>Zabuye North</t>
  </si>
  <si>
    <t>Clayton Valley</t>
  </si>
  <si>
    <t>Tajinar</t>
  </si>
  <si>
    <t>Salar de Olaroz</t>
  </si>
  <si>
    <t>Data of 57 articles compiled on this review</t>
  </si>
  <si>
    <r>
      <t>Halkes, R. T., Hughes, A., Wall, F., Petavratzi, E., Pell, R., &amp; Lindsay, J. J. (2024). Life cycle assessment and water use impacts of lithium production from salar deposits: Challenges and opportunities. </t>
    </r>
    <r>
      <rPr>
        <i/>
        <sz val="7"/>
        <color rgb="FF222222"/>
        <rFont val="Arial"/>
        <family val="2"/>
      </rPr>
      <t>Resources, Conservation and Recycling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207</t>
    </r>
    <r>
      <rPr>
        <sz val="7"/>
        <color rgb="FF222222"/>
        <rFont val="Arial"/>
        <family val="2"/>
      </rPr>
      <t>, 107554.</t>
    </r>
  </si>
  <si>
    <t>Halkers et al. (2024)</t>
  </si>
  <si>
    <t>https://doi.org/10.1016/j.resconrec.2024.107554</t>
  </si>
  <si>
    <t>https://doi.org/10.1038/s43017-022-00387-5</t>
  </si>
  <si>
    <t>Total Water</t>
  </si>
  <si>
    <t>Brine Water</t>
  </si>
  <si>
    <t>Water consumption</t>
  </si>
  <si>
    <t>Share: 31.9% Water, 31.6% Soda ash, 13.9% electricity, 9.5% sulfuric acid</t>
  </si>
  <si>
    <t>Share: 8.7% Water, 0% Soda ash, 44.3% electricity, 41.8% sulfuric acid</t>
  </si>
  <si>
    <t>Share: 18.1% Water, 10.1% Soda ash, 0% electricity, 62.1% sulfuric acid</t>
  </si>
  <si>
    <t>Order</t>
  </si>
  <si>
    <t>Clayton Valley (Century)</t>
  </si>
  <si>
    <t>McDermitt</t>
  </si>
  <si>
    <t>Low</t>
  </si>
  <si>
    <t>Salar del Hombre Muerto (Livent)</t>
  </si>
  <si>
    <t>Whabouchi</t>
  </si>
  <si>
    <t>Zhabuye</t>
  </si>
  <si>
    <t>low</t>
  </si>
  <si>
    <t>Technology</t>
  </si>
  <si>
    <t>Freshwater requirements (m3 of water per tonne of Li2CO3)</t>
  </si>
  <si>
    <t>Reference</t>
  </si>
  <si>
    <t>Liquid-liquid extraction</t>
  </si>
  <si>
    <t>Ion Exchange resins</t>
  </si>
  <si>
    <t>N/R</t>
  </si>
  <si>
    <t>Ion-pumping</t>
  </si>
  <si>
    <t>SI Table S3</t>
  </si>
  <si>
    <t>Vera, M. L., Torres, W. R., Galli, C. I., Chagnes, A., &amp; Flexer, V. (2023). Environmental impact of direct lithium extraction from brines. Nature Reviews Earth &amp; Environment, 4(3), 149-165.</t>
  </si>
  <si>
    <t>Average values</t>
  </si>
  <si>
    <t>Final Li+ concentration after DLE processing (g l-1) grams/liter</t>
  </si>
  <si>
    <t>m3 per tLCE</t>
  </si>
  <si>
    <t>grams/Liter</t>
  </si>
  <si>
    <t>Brine water</t>
  </si>
  <si>
    <t>Simulation based, evaporation (Atacama). Includes water emmissions to system</t>
  </si>
  <si>
    <t>Simulation based (Greenbushes). Includes water emmissions to system</t>
  </si>
  <si>
    <t>TotalWater_m3_tonLCE</t>
  </si>
  <si>
    <t>BrineWater_m3_tonLCE</t>
  </si>
  <si>
    <t>FreshWater_m3_tonLCE</t>
  </si>
  <si>
    <t>Brine_m3_tonLCE_GradeOnly</t>
  </si>
  <si>
    <t>Implied_Recovery</t>
  </si>
  <si>
    <t>Total</t>
  </si>
  <si>
    <t>Water use</t>
  </si>
  <si>
    <t>Good data on SI and they use withdarwal ratio rather than AWARE (for impact characterization)</t>
  </si>
  <si>
    <t>No data point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</si>
</sst>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00%"/>
    <numFmt numFmtId="166" formatCode="0.0000%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rgb="FF222222"/>
      <name val="Arial"/>
      <family val="2"/>
    </font>
    <font>
      <i/>
      <sz val="7"/>
      <color rgb="FF222222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4" fontId="0" fillId="0" borderId="0" xfId="0" applyNumberFormat="1"/>
    <xf numFmtId="164" fontId="0" fillId="0" borderId="0" xfId="0" applyNumberFormat="1"/>
    <xf numFmtId="3" fontId="0" fillId="0" borderId="0" xfId="0" applyNumberFormat="1"/>
    <xf numFmtId="10" fontId="0" fillId="0" borderId="0" xfId="0" applyNumberFormat="1"/>
    <xf numFmtId="0" fontId="5" fillId="0" borderId="0" xfId="0" applyFont="1"/>
    <xf numFmtId="0" fontId="5" fillId="2" borderId="0" xfId="0" applyFont="1" applyFill="1"/>
    <xf numFmtId="0" fontId="6" fillId="0" borderId="0" xfId="0" applyFont="1"/>
    <xf numFmtId="0" fontId="4" fillId="0" borderId="0" xfId="1"/>
    <xf numFmtId="165" fontId="0" fillId="0" borderId="0" xfId="0" applyNumberFormat="1"/>
    <xf numFmtId="166" fontId="0" fillId="0" borderId="0" xfId="0" applyNumberFormat="1"/>
    <xf numFmtId="0" fontId="0" fillId="0" borderId="0" xfId="0" pivotButton="1"/>
    <xf numFmtId="0" fontId="7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3" borderId="0" xfId="0" applyFont="1" applyFill="1"/>
    <xf numFmtId="9" fontId="0" fillId="0" borderId="0" xfId="0" applyNumberFormat="1"/>
    <xf numFmtId="49" fontId="0" fillId="0" borderId="0" xfId="0" applyNumberFormat="1" applyAlignment="1">
      <alignment horizontal="left" vertical="top"/>
    </xf>
  </cellXfs>
  <cellStyles count="2">
    <cellStyle name="Hyperlink" xfId="1" builtinId="8"/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89996032593768116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</dxf>
    <dxf>
      <numFmt numFmtId="14" formatCode="0.00%"/>
    </dxf>
    <dxf>
      <numFmt numFmtId="3" formatCode="#,##0"/>
    </dxf>
    <dxf>
      <numFmt numFmtId="13" formatCode="0%"/>
    </dxf>
    <dxf>
      <numFmt numFmtId="3" formatCode="#,##0"/>
    </dxf>
    <dxf>
      <numFmt numFmtId="164" formatCode="#,##0.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Analysis!$H$8</c:f>
              <c:strCache>
                <c:ptCount val="1"/>
                <c:pt idx="0">
                  <c:v>Ref_Water2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Analysis!$I$9:$I$49</c:f>
              <c:numCache>
                <c:formatCode>0.00%</c:formatCode>
                <c:ptCount val="41"/>
                <c:pt idx="0">
                  <c:v>8.3000000000000001E-4</c:v>
                </c:pt>
                <c:pt idx="1">
                  <c:v>1.9E-3</c:v>
                </c:pt>
                <c:pt idx="2">
                  <c:v>1.5E-3</c:v>
                </c:pt>
                <c:pt idx="3">
                  <c:v>1.5E-3</c:v>
                </c:pt>
                <c:pt idx="4">
                  <c:v>1.57E-3</c:v>
                </c:pt>
                <c:pt idx="5">
                  <c:v>1.0480000000000001E-3</c:v>
                </c:pt>
                <c:pt idx="6">
                  <c:v>3.8000000000000002E-5</c:v>
                </c:pt>
                <c:pt idx="7">
                  <c:v>3.4699999999999998E-4</c:v>
                </c:pt>
                <c:pt idx="8">
                  <c:v>8.3000000000000001E-4</c:v>
                </c:pt>
                <c:pt idx="9">
                  <c:v>5.0000000000000001E-4</c:v>
                </c:pt>
                <c:pt idx="10">
                  <c:v>2.0000000000000001E-4</c:v>
                </c:pt>
                <c:pt idx="11">
                  <c:v>5.2300000000000003E-4</c:v>
                </c:pt>
                <c:pt idx="12">
                  <c:v>6.9999999999999999E-4</c:v>
                </c:pt>
                <c:pt idx="13">
                  <c:v>6.9999999999999999E-4</c:v>
                </c:pt>
                <c:pt idx="14">
                  <c:v>8.9999999999999998E-4</c:v>
                </c:pt>
                <c:pt idx="15">
                  <c:v>8.3000000000000001E-4</c:v>
                </c:pt>
                <c:pt idx="16">
                  <c:v>6.3000000000000003E-4</c:v>
                </c:pt>
                <c:pt idx="17">
                  <c:v>5.9999999999999995E-4</c:v>
                </c:pt>
                <c:pt idx="18">
                  <c:v>5.0000000000000001E-4</c:v>
                </c:pt>
                <c:pt idx="19">
                  <c:v>4.0000000000000002E-4</c:v>
                </c:pt>
                <c:pt idx="20">
                  <c:v>2.0000000000000001E-4</c:v>
                </c:pt>
                <c:pt idx="21">
                  <c:v>8.0000000000000004E-4</c:v>
                </c:pt>
                <c:pt idx="22">
                  <c:v>8.3000000000000001E-4</c:v>
                </c:pt>
                <c:pt idx="23">
                  <c:v>2.0000000000000001E-4</c:v>
                </c:pt>
                <c:pt idx="24">
                  <c:v>2.9999999999999997E-4</c:v>
                </c:pt>
                <c:pt idx="25">
                  <c:v>1E-3</c:v>
                </c:pt>
                <c:pt idx="26">
                  <c:v>2.1000000000000001E-4</c:v>
                </c:pt>
                <c:pt idx="27">
                  <c:v>2.0000000000000001E-4</c:v>
                </c:pt>
                <c:pt idx="28">
                  <c:v>9.7000000000000005E-4</c:v>
                </c:pt>
                <c:pt idx="32">
                  <c:v>5.6999999999999998E-4</c:v>
                </c:pt>
                <c:pt idx="33">
                  <c:v>2.9999999999999997E-4</c:v>
                </c:pt>
                <c:pt idx="34">
                  <c:v>2.9999999999999997E-4</c:v>
                </c:pt>
                <c:pt idx="35">
                  <c:v>1.57E-3</c:v>
                </c:pt>
                <c:pt idx="36">
                  <c:v>1.55E-4</c:v>
                </c:pt>
                <c:pt idx="37">
                  <c:v>2.9999999999999997E-4</c:v>
                </c:pt>
                <c:pt idx="38">
                  <c:v>2.0000000000000001E-4</c:v>
                </c:pt>
                <c:pt idx="39">
                  <c:v>2.4000000000000001E-4</c:v>
                </c:pt>
                <c:pt idx="40">
                  <c:v>8.4999999999999995E-4</c:v>
                </c:pt>
              </c:numCache>
            </c:numRef>
          </c:xVal>
          <c:yVal>
            <c:numRef>
              <c:f>Analysis!$H$9:$H$87</c:f>
              <c:numCache>
                <c:formatCode>General</c:formatCode>
                <c:ptCount val="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6A-4B4E-BD1B-DA89C7E07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235008"/>
        <c:axId val="416226848"/>
      </c:scatterChart>
      <c:valAx>
        <c:axId val="416235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226848"/>
        <c:crosses val="autoZero"/>
        <c:crossBetween val="midCat"/>
      </c:valAx>
      <c:valAx>
        <c:axId val="41622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235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962024</xdr:colOff>
      <xdr:row>0</xdr:row>
      <xdr:rowOff>19050</xdr:rowOff>
    </xdr:from>
    <xdr:to>
      <xdr:col>14</xdr:col>
      <xdr:colOff>1054099</xdr:colOff>
      <xdr:row>26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179B31-6AE6-6229-B408-B534CCED5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ablo Busch" id="{803A30C3-2E78-4942-B756-8BA1B512CF3E}" userId="3ac1a0a7546bc0ed" providerId="Windows Live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Pablo Busch" refreshedDate="46245.64161979167" createdVersion="8" refreshedVersion="8" minRefreshableVersion="3" recordCount="95" xr:uid="{F5867E5F-8AC5-49E3-B615-549968FC3DDD}">
  <cacheSource type="worksheet">
    <worksheetSource name="Table2"/>
  </cacheSource>
  <cacheFields count="24">
    <cacheField name="Order" numFmtId="0">
      <sharedItems containsSemiMixedTypes="0" containsString="0" containsNumber="1" containsInteger="1" minValue="1" maxValue="95"/>
    </cacheField>
    <cacheField name="Include" numFmtId="0">
      <sharedItems containsSemiMixedTypes="0" containsString="0" containsNumber="1" containsInteger="1" minValue="0" maxValue="1"/>
    </cacheField>
    <cacheField name="Reason_Exclusion" numFmtId="0">
      <sharedItems containsBlank="1"/>
    </cacheField>
    <cacheField name="Deposit" numFmtId="0">
      <sharedItems count="69">
        <s v="Atacama"/>
        <s v="Tres Quebradas"/>
        <s v="Maricunga"/>
        <s v="Sal de Vida"/>
        <s v="Hombre Muerto North"/>
        <s v="Cauchari-Olaroz"/>
        <s v="Pastos Grandes"/>
        <s v="Olaroz"/>
        <s v="Silver Peak"/>
        <s v="Uyuni"/>
        <s v="Fenix"/>
        <s v="Rio Grande"/>
        <s v="Centenario"/>
        <s v="Rincon"/>
        <s v="Tolillar"/>
        <s v="Arizaro"/>
        <s v="Antofalla"/>
        <s v="Salinas Grandes"/>
        <s v="Kachi"/>
        <s v="Los Angeles"/>
        <s v="Pozuelos"/>
        <s v="Chaerhan"/>
        <s v="Qinghai Yiliping"/>
        <s v="Qarhan"/>
        <s v="Da Qaidam"/>
        <s v="Hombre Muerto"/>
        <s v="Yiliping"/>
        <s v="Barunma Sea"/>
        <s v="West Tajinar"/>
        <s v="East Tajinar"/>
        <s v="Brine high grade"/>
        <s v="Brine medium grade"/>
        <s v="Brine low grade"/>
        <s v="Xitai Jinaier"/>
        <s v="Dongtai Jinaier"/>
        <s v="Zabuye"/>
        <s v="Chile"/>
        <s v="Argentina"/>
        <s v="Bolivia"/>
        <s v="Salar de Olaroz"/>
        <s v="Zabuye North"/>
        <s v="Clayton Valley"/>
        <s v="Tajinar"/>
        <s v="Upper Rhine Graben"/>
        <s v="Salton Sea"/>
        <s v="Smackover Arkansas"/>
        <s v="SW Arkansas"/>
        <s v="Greenbushes"/>
        <s v="Mt Cattlin"/>
        <s v="Mt Marion"/>
        <s v="Mt Wodgina"/>
        <s v="Pilgangoora"/>
        <s v="Keliber-Syvajarvi (Finland)"/>
        <s v="Hard rock high grade"/>
        <s v="Hard rock medium grade"/>
        <s v="Hard rock low grade"/>
        <s v="Wodgina"/>
        <s v="Bald Hill"/>
        <s v="Nemaska Lithium"/>
        <s v="Grota do Cirilo"/>
        <s v="Mina do Barroso"/>
        <s v="Arcadia"/>
        <s v="Brazil"/>
        <s v="Thacker Pass"/>
        <s v="Tonopah lithium"/>
        <s v="Sonora"/>
        <s v="Falchani"/>
        <s v="Nevada sedimentary projects"/>
        <s v="Mc Dermitt Caldera"/>
      </sharedItems>
    </cacheField>
    <cacheField name="Name" numFmtId="0">
      <sharedItems containsBlank="1"/>
    </cacheField>
    <cacheField name="ID" numFmtId="0">
      <sharedItems containsMixedTypes="1" containsNumber="1" containsInteger="1" minValue="30688" maxValue="92966"/>
    </cacheField>
    <cacheField name="Type" numFmtId="0">
      <sharedItems count="5">
        <s v="Brine"/>
        <s v="Brine (Geothermal)"/>
        <s v="Brine (Oilfield)"/>
        <s v="Hard Rock"/>
        <s v="Volcano-Sedimentary"/>
      </sharedItems>
    </cacheField>
    <cacheField name="Grade ore Li%" numFmtId="0">
      <sharedItems containsString="0" containsBlank="1" containsNumber="1" minValue="3.8000000000000002E-5" maxValue="1.685E-2"/>
    </cacheField>
    <cacheField name="Ref_grade" numFmtId="0">
      <sharedItems containsBlank="1" containsMixedTypes="1" containsNumber="1" containsInteger="1" minValue="3" maxValue="16"/>
    </cacheField>
    <cacheField name="Brine Water" numFmtId="0">
      <sharedItems containsString="0" containsBlank="1" containsNumber="1" minValue="119.7" maxValue="6145"/>
    </cacheField>
    <cacheField name="Freshwater" numFmtId="0">
      <sharedItems containsString="0" containsBlank="1" containsNumber="1" minValue="0.1" maxValue="39131"/>
    </cacheField>
    <cacheField name="Total Water" numFmtId="0">
      <sharedItems containsSemiMixedTypes="0" containsString="0" containsNumber="1" minValue="0.1" maxValue="39131"/>
    </cacheField>
    <cacheField name="Unit num" numFmtId="0">
      <sharedItems/>
    </cacheField>
    <cacheField name="Unit den" numFmtId="0">
      <sharedItems/>
    </cacheField>
    <cacheField name="DLE" numFmtId="0">
      <sharedItems count="2">
        <s v="No"/>
        <s v="Yes"/>
      </sharedItems>
    </cacheField>
    <cacheField name="Detail" numFmtId="0">
      <sharedItems containsBlank="1"/>
    </cacheField>
    <cacheField name="Water type" numFmtId="0">
      <sharedItems containsBlank="1"/>
    </cacheField>
    <cacheField name="Ref_Water" numFmtId="0">
      <sharedItems containsSemiMixedTypes="0" containsString="0" containsNumber="1" containsInteger="1" minValue="3" maxValue="16"/>
    </cacheField>
    <cacheField name="Ref_Water2" numFmtId="0">
      <sharedItems count="14">
        <s v="Schenker &amp; Pfister (2025)"/>
        <s v="Lagos et al. (2024)"/>
        <s v="Feng et al. (2025)"/>
        <s v="Paz et al. (2025)"/>
        <s v="Mas-Fons et al. (2024)"/>
        <s v="Sun et al. (2024)"/>
        <s v="Orquera et al. (2026)"/>
        <s v="Vera et al. (2023)"/>
        <s v="Iyer &amp; Kelly (2024)"/>
        <s v="Feng et al. (2024)"/>
        <s v="Iyer, Kelly &amp; Wang (2026)"/>
        <s v="Khakmardan et al. (2024)"/>
        <s v="Mousavinezhad et al. (2025)"/>
        <s v="Roy et al. (2024)"/>
      </sharedItems>
    </cacheField>
    <cacheField name="BrineWater_m3_tonLCE" numFmtId="3">
      <sharedItems containsMixedTypes="1" containsNumber="1" minValue="119.7" maxValue="4666.75"/>
    </cacheField>
    <cacheField name="FreshWater_m3_tonLCE" numFmtId="3">
      <sharedItems containsMixedTypes="1" containsNumber="1" minValue="0.1" maxValue="3379.92"/>
    </cacheField>
    <cacheField name="TotalWater_m3_tonLCE" numFmtId="3">
      <sharedItems containsSemiMixedTypes="0" containsString="0" containsNumber="1" minValue="0.1" maxValue="8046.67"/>
    </cacheField>
    <cacheField name="Brine_m3_tonLCE_GradeOnly" numFmtId="3">
      <sharedItems containsMixedTypes="1" containsNumber="1" minValue="98.875782354627859" maxValue="4943.7891177313932"/>
    </cacheField>
    <cacheField name="Implied_Recovery" numFmtId="9">
      <sharedItems containsMixedTypes="1" containsNumber="1" minValue="0.41056464956254329" maxValue="1.32275132275132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A352AA-A2E1-47D9-9A0D-25D81A770863}" name="PT_Table2" cacheId="7" applyNumberFormats="0" applyBorderFormats="0" applyFontFormats="0" applyPatternFormats="0" applyAlignmentFormats="0" applyWidthHeightFormats="1" dataCaption="Values" updatedVersion="8" minRefreshableVersion="3" asteriskTotals="1" showDrill="0" useAutoFormatting="1" itemPrintTitles="1" createdVersion="8" indent="0" compact="0" compactData="0" gridDropZones="1" multipleFieldFilters="0">
  <location ref="E7:I104" firstHeaderRow="2" firstDataRow="2" firstDataCol="4"/>
  <pivotFields count="24">
    <pivotField compact="0" outline="0" showAll="0"/>
    <pivotField compact="0" outline="0" showAll="0" defaultSubtotal="0"/>
    <pivotField compact="0" outline="0" showAll="0"/>
    <pivotField axis="axisRow" compact="0" outline="0" showAll="0" defaultSubtotal="0">
      <items count="69">
        <item x="16"/>
        <item x="61"/>
        <item x="15"/>
        <item x="0"/>
        <item x="57"/>
        <item x="27"/>
        <item x="30"/>
        <item x="32"/>
        <item x="31"/>
        <item x="5"/>
        <item x="12"/>
        <item x="21"/>
        <item x="24"/>
        <item x="34"/>
        <item x="29"/>
        <item x="66"/>
        <item x="10"/>
        <item x="47"/>
        <item x="59"/>
        <item x="53"/>
        <item x="55"/>
        <item x="54"/>
        <item x="25"/>
        <item x="4"/>
        <item x="18"/>
        <item x="52"/>
        <item x="19"/>
        <item x="2"/>
        <item x="68"/>
        <item x="60"/>
        <item x="48"/>
        <item x="49"/>
        <item x="50"/>
        <item x="58"/>
        <item x="67"/>
        <item x="7"/>
        <item x="6"/>
        <item x="51"/>
        <item x="20"/>
        <item x="23"/>
        <item x="22"/>
        <item x="13"/>
        <item x="11"/>
        <item x="3"/>
        <item x="17"/>
        <item x="44"/>
        <item x="8"/>
        <item x="45"/>
        <item x="65"/>
        <item x="46"/>
        <item x="63"/>
        <item x="14"/>
        <item x="64"/>
        <item x="1"/>
        <item x="43"/>
        <item x="9"/>
        <item x="28"/>
        <item x="56"/>
        <item x="33"/>
        <item x="26"/>
        <item x="35"/>
        <item x="36"/>
        <item x="37"/>
        <item x="62"/>
        <item x="38"/>
        <item x="39"/>
        <item x="40"/>
        <item x="41"/>
        <item x="42"/>
      </items>
    </pivotField>
    <pivotField compact="0" outline="0" showAll="0" defaultSubtotal="0"/>
    <pivotField compact="0" outline="0" showAll="0"/>
    <pivotField axis="axisRow" compact="0" outline="0" showAll="0" defaultSubtotal="0">
      <items count="5">
        <item x="0"/>
        <item x="1"/>
        <item x="2"/>
        <item x="3"/>
        <item x="4"/>
      </items>
    </pivotField>
    <pivotField dataField="1" compact="0" outline="0" showAll="0" defaultSubtotal="0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4">
        <item x="9"/>
        <item x="2"/>
        <item x="8"/>
        <item x="10"/>
        <item x="11"/>
        <item x="1"/>
        <item x="4"/>
        <item x="12"/>
        <item x="3"/>
        <item x="13"/>
        <item x="0"/>
        <item x="5"/>
        <item x="6"/>
        <item x="7"/>
      </items>
    </pivotField>
    <pivotField compact="0" outline="0" showAll="0"/>
    <pivotField compact="0" outline="0" showAll="0"/>
    <pivotField compact="0" numFmtId="3" outline="0" showAll="0"/>
    <pivotField compact="0" outline="0" showAll="0"/>
    <pivotField compact="0" outline="0" showAll="0"/>
  </pivotFields>
  <rowFields count="4">
    <field x="6"/>
    <field x="14"/>
    <field x="3"/>
    <field x="18"/>
  </rowFields>
  <rowItems count="96">
    <i>
      <x/>
      <x/>
      <x v="3"/>
      <x v="1"/>
    </i>
    <i r="3">
      <x v="5"/>
    </i>
    <i r="3">
      <x v="10"/>
    </i>
    <i r="3">
      <x v="11"/>
    </i>
    <i r="3">
      <x v="13"/>
    </i>
    <i r="2">
      <x v="6"/>
      <x v="6"/>
    </i>
    <i r="2">
      <x v="7"/>
      <x v="6"/>
    </i>
    <i r="2">
      <x v="8"/>
      <x v="6"/>
    </i>
    <i r="2">
      <x v="9"/>
      <x v="1"/>
    </i>
    <i r="3">
      <x v="10"/>
    </i>
    <i r="2">
      <x v="13"/>
      <x v="11"/>
    </i>
    <i r="2">
      <x v="16"/>
      <x v="8"/>
    </i>
    <i r="2">
      <x v="22"/>
      <x v="11"/>
    </i>
    <i r="2">
      <x v="23"/>
      <x v="10"/>
    </i>
    <i r="2">
      <x v="27"/>
      <x v="10"/>
    </i>
    <i r="2">
      <x v="35"/>
      <x v="1"/>
    </i>
    <i r="3">
      <x v="8"/>
    </i>
    <i r="3">
      <x v="10"/>
    </i>
    <i r="3">
      <x v="11"/>
    </i>
    <i r="2">
      <x v="36"/>
      <x v="10"/>
    </i>
    <i r="2">
      <x v="39"/>
      <x v="11"/>
    </i>
    <i r="2">
      <x v="43"/>
      <x v="10"/>
    </i>
    <i r="2">
      <x v="46"/>
      <x v="1"/>
    </i>
    <i r="3">
      <x v="10"/>
    </i>
    <i r="3">
      <x v="11"/>
    </i>
    <i r="2">
      <x v="53"/>
      <x v="10"/>
    </i>
    <i r="2">
      <x v="56"/>
      <x v="1"/>
    </i>
    <i r="2">
      <x v="58"/>
      <x v="11"/>
    </i>
    <i r="2">
      <x v="60"/>
      <x v="11"/>
    </i>
    <i r="2">
      <x v="61"/>
      <x v="12"/>
    </i>
    <i r="2">
      <x v="62"/>
      <x v="12"/>
    </i>
    <i r="2">
      <x v="64"/>
      <x v="12"/>
    </i>
    <i r="2">
      <x v="65"/>
      <x v="13"/>
    </i>
    <i r="1">
      <x v="1"/>
      <x/>
      <x v="10"/>
    </i>
    <i r="2">
      <x v="2"/>
      <x v="10"/>
    </i>
    <i r="2">
      <x v="3"/>
      <x v="13"/>
    </i>
    <i r="2">
      <x v="5"/>
      <x v="1"/>
    </i>
    <i r="2">
      <x v="10"/>
      <x v="10"/>
    </i>
    <i r="2">
      <x v="11"/>
      <x v="10"/>
    </i>
    <i r="2">
      <x v="12"/>
      <x v="1"/>
    </i>
    <i r="2">
      <x v="14"/>
      <x v="1"/>
    </i>
    <i r="2">
      <x v="16"/>
      <x v="10"/>
    </i>
    <i r="2">
      <x v="22"/>
      <x v="1"/>
    </i>
    <i r="3">
      <x v="13"/>
    </i>
    <i r="2">
      <x v="24"/>
      <x v="10"/>
    </i>
    <i r="2">
      <x v="26"/>
      <x v="10"/>
    </i>
    <i r="2">
      <x v="38"/>
      <x v="10"/>
    </i>
    <i r="2">
      <x v="39"/>
      <x v="1"/>
    </i>
    <i r="2">
      <x v="40"/>
      <x v="10"/>
    </i>
    <i r="2">
      <x v="41"/>
      <x v="10"/>
    </i>
    <i r="2">
      <x v="42"/>
      <x v="10"/>
    </i>
    <i r="2">
      <x v="44"/>
      <x v="10"/>
    </i>
    <i r="2">
      <x v="51"/>
      <x v="10"/>
    </i>
    <i r="2">
      <x v="55"/>
      <x v="10"/>
    </i>
    <i r="3">
      <x v="13"/>
    </i>
    <i r="2">
      <x v="59"/>
      <x v="1"/>
    </i>
    <i r="2">
      <x v="61"/>
      <x v="12"/>
    </i>
    <i r="2">
      <x v="62"/>
      <x v="12"/>
    </i>
    <i r="2">
      <x v="64"/>
      <x v="12"/>
    </i>
    <i r="2">
      <x v="65"/>
      <x v="13"/>
    </i>
    <i r="2">
      <x v="66"/>
      <x v="13"/>
    </i>
    <i r="2">
      <x v="67"/>
      <x v="13"/>
    </i>
    <i r="2">
      <x v="68"/>
      <x v="13"/>
    </i>
    <i>
      <x v="1"/>
      <x v="1"/>
      <x v="45"/>
      <x v="10"/>
    </i>
    <i r="2">
      <x v="54"/>
      <x v="10"/>
    </i>
    <i>
      <x v="2"/>
      <x/>
      <x v="47"/>
      <x v="2"/>
    </i>
    <i r="2">
      <x v="49"/>
      <x v="2"/>
    </i>
    <i>
      <x v="3"/>
      <x/>
      <x v="1"/>
      <x v="11"/>
    </i>
    <i r="2">
      <x v="4"/>
      <x v="11"/>
    </i>
    <i r="2">
      <x v="17"/>
      <x/>
    </i>
    <i r="3">
      <x v="11"/>
    </i>
    <i r="2">
      <x v="18"/>
      <x v="11"/>
    </i>
    <i r="2">
      <x v="19"/>
      <x v="6"/>
    </i>
    <i r="2">
      <x v="20"/>
      <x v="6"/>
    </i>
    <i r="2">
      <x v="21"/>
      <x v="6"/>
    </i>
    <i r="2">
      <x v="25"/>
      <x v="3"/>
    </i>
    <i r="2">
      <x v="29"/>
      <x v="11"/>
    </i>
    <i r="2">
      <x v="30"/>
      <x/>
    </i>
    <i r="3">
      <x v="11"/>
    </i>
    <i r="2">
      <x v="31"/>
      <x/>
    </i>
    <i r="3">
      <x v="11"/>
    </i>
    <i r="2">
      <x v="32"/>
      <x/>
    </i>
    <i r="2">
      <x v="33"/>
      <x v="11"/>
    </i>
    <i r="2">
      <x v="37"/>
      <x/>
    </i>
    <i r="3">
      <x v="11"/>
    </i>
    <i r="2">
      <x v="57"/>
      <x v="11"/>
    </i>
    <i r="2">
      <x v="63"/>
      <x v="12"/>
    </i>
    <i>
      <x v="4"/>
      <x/>
      <x v="15"/>
      <x v="4"/>
    </i>
    <i r="2">
      <x v="28"/>
      <x v="9"/>
    </i>
    <i r="2">
      <x v="34"/>
      <x v="7"/>
    </i>
    <i r="2">
      <x v="48"/>
      <x v="4"/>
    </i>
    <i r="2">
      <x v="50"/>
      <x v="2"/>
    </i>
    <i r="3">
      <x v="4"/>
    </i>
    <i r="3">
      <x v="9"/>
    </i>
    <i r="2">
      <x v="52"/>
      <x v="2"/>
    </i>
    <i t="grand">
      <x/>
    </i>
  </rowItems>
  <colItems count="1">
    <i/>
  </colItems>
  <dataFields count="1">
    <dataField name="Sum of Grade ore Li%" fld="7" baseField="0" baseItem="0" numFmtId="10"/>
  </dataFields>
  <formats count="2">
    <format dxfId="9">
      <pivotArea outline="0" collapsedLevelsAreSubtotals="1" fieldPosition="0"/>
    </format>
    <format dxfId="8">
      <pivotArea outline="0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5524C8-C51E-480B-9A2B-20DBC4A88894}" name="Table2" displayName="Table2" ref="A1:X96" totalsRowShown="0" headerRowDxfId="24">
  <autoFilter ref="A1:X96" xr:uid="{1E5524C8-C51E-480B-9A2B-20DBC4A88894}">
    <filterColumn colId="1">
      <filters>
        <filter val="1"/>
      </filters>
    </filterColumn>
  </autoFilter>
  <tableColumns count="24">
    <tableColumn id="19" xr3:uid="{0558AD9B-1F1B-41A0-B1F4-755FEB8D9EA6}" name="Order"/>
    <tableColumn id="11" xr3:uid="{E7DD0C5F-5608-481B-97E7-458EE1C1BBA3}" name="Include"/>
    <tableColumn id="16" xr3:uid="{E0E879EC-5960-4422-A11C-1081F4D18D4D}" name="Reason_Exclusion"/>
    <tableColumn id="1" xr3:uid="{BA964FAE-DFA1-44A5-A7C1-F388F7FF4146}" name="Deposit"/>
    <tableColumn id="13" xr3:uid="{BE7C8141-896D-49DF-AF21-0A9E3B7E985E}" name="Name"/>
    <tableColumn id="22" xr3:uid="{4FE33BED-EB95-4FCA-99F8-E8BA63594EE8}" name="ID" dataDxfId="23"/>
    <tableColumn id="14" xr3:uid="{14F80E94-DD2A-46D1-A848-73BEAF4795AC}" name="Type" dataDxfId="22" totalsRowDxfId="21"/>
    <tableColumn id="2" xr3:uid="{E2E4FF1B-F25C-4E77-9027-A9C470487E06}" name="Grade ore Li%" dataDxfId="20" totalsRowDxfId="19"/>
    <tableColumn id="3" xr3:uid="{22C3E4F5-4952-4EC5-BEC0-F49A94845405}" name="Ref_grade"/>
    <tableColumn id="17" xr3:uid="{42F42298-3566-476B-9138-A2C00EE2BE3F}" name="Brine Water"/>
    <tableColumn id="4" xr3:uid="{225DA631-F595-4600-B020-3B0D7466F4C2}" name="Freshwater" dataDxfId="18" totalsRowDxfId="17"/>
    <tableColumn id="18" xr3:uid="{38C804A9-C9DC-4BC7-AA62-F8BA12B64317}" name="Total Water" dataDxfId="16">
      <calculatedColumnFormula>+Table2[[#This Row],[Brine Water]]+Table2[[#This Row],[Freshwater]]</calculatedColumnFormula>
    </tableColumn>
    <tableColumn id="5" xr3:uid="{4DE5F5DD-DDE8-4110-B995-D3F3A438C344}" name="Unit num"/>
    <tableColumn id="6" xr3:uid="{76B0D042-F0DB-4BC0-9997-C03143A86A10}" name="Unit den"/>
    <tableColumn id="15" xr3:uid="{ADB91104-B070-4692-ADB5-BD352E3162A3}" name="DLE"/>
    <tableColumn id="7" xr3:uid="{5D9C5D0A-3C28-43C7-99A8-B23AB690E709}" name="Detail"/>
    <tableColumn id="8" xr3:uid="{3C229CEE-01C2-4E36-B2AC-C6309D79446C}" name="Water type"/>
    <tableColumn id="9" xr3:uid="{B6233356-DE46-452A-83AD-3D2F75CCB46C}" name="Ref_Water"/>
    <tableColumn id="10" xr3:uid="{02B8C5EB-E0BB-4CAD-9B96-1F4DED0061CF}" name="Ref_Water2">
      <calculatedColumnFormula>+VLOOKUP(R2,Refs[],2,0)</calculatedColumnFormula>
    </tableColumn>
    <tableColumn id="21" xr3:uid="{27C2D3F7-A560-4DE8-B48A-DB1FB17390B9}" name="BrineWater_m3_tonLCE" dataDxfId="15">
      <calculatedColumnFormula>IF(ISBLANK(Table2[[#This Row],[Brine Water]]),"",+VLOOKUP(Table2[[#This Row],[Unit num]]&amp;"/"&amp;Table2[[#This Row],[Unit den]],Conversion!$A$2:$B$50,2,0)*Table2[[#This Row],[Brine Water]])</calculatedColumnFormula>
    </tableColumn>
    <tableColumn id="20" xr3:uid="{D0DB485E-251B-4B87-9572-F28DBDE0CD34}" name="FreshWater_m3_tonLCE" dataDxfId="14">
      <calculatedColumnFormula>IF(ISBLANK(Table2[[#This Row],[Freshwater]]),"",+VLOOKUP(Table2[[#This Row],[Unit num]]&amp;"/"&amp;Table2[[#This Row],[Unit den]],Conversion!$A$2:$B$50,2,0)*Table2[[#This Row],[Freshwater]])</calculatedColumnFormula>
    </tableColumn>
    <tableColumn id="12" xr3:uid="{B4377143-6DF9-4C46-AE13-60A73B6D817B}" name="TotalWater_m3_tonLCE" dataDxfId="13" totalsRowDxfId="12">
      <calculatedColumnFormula>+VLOOKUP(Table2[[#This Row],[Unit num]]&amp;"/"&amp;Table2[[#This Row],[Unit den]],Conversion!$A$2:$B$50,2,0)*Table2[[#This Row],[Total Water]]</calculatedColumnFormula>
    </tableColumn>
    <tableColumn id="23" xr3:uid="{49966DE9-B48F-4BE4-894A-F97F04858752}" name="Brine_m3_tonLCE_GradeOnly" dataDxfId="11">
      <calculatedColumnFormula>IF(ISNUMBER(FIND("Brine",Table2[[#This Row],[Type]])),1/Table2[[#This Row],[Grade ore Li%]]/5.323,"")</calculatedColumnFormula>
    </tableColumn>
    <tableColumn id="24" xr3:uid="{7F6E5EF6-6C41-407D-81D2-C973926131F5}" name="Implied_Recovery" dataDxfId="10">
      <calculatedColumnFormula>+IF(ISBLANK(Table2[[#This Row],[Brine Water]]),"",Table2[[#This Row],[Brine_m3_tonLCE_GradeOnly]]/Table2[[#This Row],[BrineWater_m3_tonLCE]])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874C81-54E4-4155-8B70-A85FBB141C65}" name="Refs" displayName="Refs" ref="A1:G18" totalsRowShown="0" headerRowDxfId="7">
  <autoFilter ref="A1:G18" xr:uid="{84874C81-54E4-4155-8B70-A85FBB141C65}"/>
  <tableColumns count="7">
    <tableColumn id="1" xr3:uid="{711E2627-F403-4925-B873-110FDB5AC3ED}" name="ID"/>
    <tableColumn id="2" xr3:uid="{5A8669E6-913A-46B1-BAFB-097F60CB0FB9}" name="Name"/>
    <tableColumn id="3" xr3:uid="{385B4114-E847-4106-803A-02AE81E0DC12}" name="Full cite"/>
    <tableColumn id="4" xr3:uid="{9F5A5FFF-D551-4265-8730-D0A381E2126F}" name="Year"/>
    <tableColumn id="5" xr3:uid="{0F973D01-07CF-453A-BF06-04A90FD61563}" name="DOI"/>
    <tableColumn id="6" xr3:uid="{665D9ADE-75EB-4EF5-BDFC-407471452854}" name="Notes"/>
    <tableColumn id="7" xr3:uid="{CE1FDE7C-0B03-4A90-AB64-85B2DBEDE7F5}" name="Typ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6" dT="2025-11-07T22:21:42.82" personId="{803A30C3-2E78-4942-B756-8BA1B512CF3E}" id="{DCF17029-1620-4FCE-A9BC-FB71284EB7A4}">
    <text>Midpoint assumed from average</text>
  </threadedComment>
  <threadedComment ref="H27" dT="2025-11-07T22:23:05.77" personId="{803A30C3-2E78-4942-B756-8BA1B512CF3E}" id="{4F194D2B-7541-4898-97C3-0FF70D21BFE7}">
    <text xml:space="preserve">Midpoint assumed from average
</text>
  </threadedComment>
  <threadedComment ref="H28" dT="2025-11-07T22:23:05.77" personId="{803A30C3-2E78-4942-B756-8BA1B512CF3E}" id="{EB98DBE9-81AC-4B56-879E-E12273952174}">
    <text xml:space="preserve">Midpoint assumed from average
</text>
  </threadedComment>
  <threadedComment ref="H29" dT="2025-11-07T22:23:05.77" personId="{803A30C3-2E78-4942-B756-8BA1B512CF3E}" id="{8BF4EDFB-5DAC-4AC4-8A54-E264DE95D4AD}">
    <text xml:space="preserve">Midpoint assumed from average
</text>
  </threadedComment>
  <threadedComment ref="H33" dT="2025-11-07T22:25:25.28" personId="{803A30C3-2E78-4942-B756-8BA1B512CF3E}" id="{A9106CB8-8CE4-46FE-A34E-D4D67399F5F4}">
    <text xml:space="preserve">Midpoint assumed from average
</text>
  </threadedComment>
  <threadedComment ref="H34" dT="2025-11-07T22:23:05.77" personId="{803A30C3-2E78-4942-B756-8BA1B512CF3E}" id="{787B8C62-0619-4561-92BB-2154C6982025}">
    <text xml:space="preserve">Midpoint assumed from average
</text>
  </threadedComment>
  <threadedComment ref="H56" dT="2025-11-07T18:56:29.65" personId="{803A30C3-2E78-4942-B756-8BA1B512CF3E}" id="{45C538A0-C9F6-4583-BC5C-BF09E2AE5C6C}">
    <text>From g/L to %Li</text>
  </threadedComment>
  <threadedComment ref="K59" dT="2025-11-11T18:25:30.10" personId="{803A30C3-2E78-4942-B756-8BA1B512CF3E}" id="{AE61E788-2E2C-4C24-B49F-DBA09DF7CF24}">
    <text>Based on SI, DLE table S2 and S3</text>
  </threadedComment>
  <threadedComment ref="K61" dT="2025-11-11T18:25:37.77" personId="{803A30C3-2E78-4942-B756-8BA1B512CF3E}" id="{82E2F524-B5AF-4611-8C8B-7CAAFF6B6F65}">
    <text xml:space="preserve">Based on SI, DLE table S2 and S3
</text>
  </threadedComment>
  <threadedComment ref="K64" dT="2025-11-11T18:25:41.61" personId="{803A30C3-2E78-4942-B756-8BA1B512CF3E}" id="{459D626F-A335-4DB0-9B70-EBA9C88052B4}">
    <text xml:space="preserve">Based on SI, DLE table S2 and S3
</text>
  </threadedComment>
  <threadedComment ref="H69" dT="2025-10-17T18:53:26.52" personId="{803A30C3-2E78-4942-B756-8BA1B512CF3E}" id="{9FBD154C-DE2E-40B8-B4FD-8B6F313F98BB}">
    <text>Converted from %Li2O to %Li</text>
  </threadedComment>
  <threadedComment ref="H78" dT="2025-10-17T18:53:26.52" personId="{803A30C3-2E78-4942-B756-8BA1B512CF3E}" id="{7629C1AA-17C4-42BF-A9D3-63AA513A4BB2}">
    <text>Converted from %Li2O to %Li</text>
  </threadedComment>
  <threadedComment ref="H80" dT="2025-10-17T18:53:26.52" personId="{803A30C3-2E78-4942-B756-8BA1B512CF3E}" id="{DAC4E650-A40A-49F9-9697-2CD571D13143}">
    <text>Converted from %Li2O to %Li</text>
  </threadedComment>
  <threadedComment ref="H81" dT="2025-10-17T18:53:26.52" personId="{803A30C3-2E78-4942-B756-8BA1B512CF3E}" id="{DCC583AA-60C4-4C17-B2AE-862F60EB9C00}">
    <text>Converted from %Li2O to %Li</text>
  </threadedComment>
  <threadedComment ref="H85" dT="2025-10-17T18:53:26.52" personId="{803A30C3-2E78-4942-B756-8BA1B512CF3E}" id="{5E290B5B-E41E-4B78-B1BB-9279A26CB78F}">
    <text>Converted from %Li2O to %Li</text>
  </threadedComment>
  <threadedComment ref="H86" dT="2025-10-17T18:53:26.52" personId="{803A30C3-2E78-4942-B756-8BA1B512CF3E}" id="{B9684983-0DB9-4A41-B7F4-3D3094F53C49}">
    <text>Converted from %Li2O to %Li</text>
  </threadedComment>
  <threadedComment ref="H87" dT="2025-10-17T18:53:26.52" personId="{803A30C3-2E78-4942-B756-8BA1B512CF3E}" id="{5FFC8E40-3CC4-4F23-A834-1A7BED990C5E}">
    <text>Converted from %Li2O to %Li</text>
  </threadedComment>
  <threadedComment ref="H94" dT="2025-11-07T22:27:21.10" personId="{803A30C3-2E78-4942-B756-8BA1B512CF3E}" id="{EBE99A91-2E81-455C-B908-288E96C61159}">
    <text>Midpoint assumed from average</text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j.envc.2024.100962" TargetMode="External"/><Relationship Id="rId13" Type="http://schemas.openxmlformats.org/officeDocument/2006/relationships/printerSettings" Target="../printerSettings/printerSettings4.bin"/><Relationship Id="rId3" Type="http://schemas.openxmlformats.org/officeDocument/2006/relationships/hyperlink" Target="https://doi.org/10.1016/j.jclepro.2024.142108" TargetMode="External"/><Relationship Id="rId7" Type="http://schemas.openxmlformats.org/officeDocument/2006/relationships/hyperlink" Target="https://doi.org/10.1016/j.heliyon.2025.e42523" TargetMode="External"/><Relationship Id="rId12" Type="http://schemas.openxmlformats.org/officeDocument/2006/relationships/hyperlink" Target="https://doi.org/10.1016/j.spc.2024.11.008" TargetMode="External"/><Relationship Id="rId2" Type="http://schemas.openxmlformats.org/officeDocument/2006/relationships/hyperlink" Target="https://doi.org/10.1021/acs.est.4c12619" TargetMode="External"/><Relationship Id="rId1" Type="http://schemas.openxmlformats.org/officeDocument/2006/relationships/hyperlink" Target="https://doi.org/10.1021/acssuschemeng.5c03739" TargetMode="External"/><Relationship Id="rId6" Type="http://schemas.openxmlformats.org/officeDocument/2006/relationships/hyperlink" Target="https://doi.org/10.1016/j.jclepro.2024.142955" TargetMode="External"/><Relationship Id="rId11" Type="http://schemas.openxmlformats.org/officeDocument/2006/relationships/hyperlink" Target="https://doi.org/10.1016/j.resconrec.2025.108271" TargetMode="External"/><Relationship Id="rId5" Type="http://schemas.openxmlformats.org/officeDocument/2006/relationships/hyperlink" Target="https://doi.org/10.1038/s43017-022-00387-5" TargetMode="External"/><Relationship Id="rId10" Type="http://schemas.openxmlformats.org/officeDocument/2006/relationships/hyperlink" Target="https://doi.org/10.1016/j.resconrec.2025.108592" TargetMode="External"/><Relationship Id="rId4" Type="http://schemas.openxmlformats.org/officeDocument/2006/relationships/hyperlink" Target="https://doi.org/10.1016/j.resconrec.2024.107554" TargetMode="External"/><Relationship Id="rId9" Type="http://schemas.openxmlformats.org/officeDocument/2006/relationships/hyperlink" Target="https://doi.org/10.1039/D4SU00446A" TargetMode="External"/><Relationship Id="rId1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C71F0-1E27-47A8-8DA7-C976278772A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B9F37-BCF5-47B3-AAED-E6117E09B208}">
  <dimension ref="E1:I104"/>
  <sheetViews>
    <sheetView workbookViewId="0">
      <selection activeCell="I44" sqref="I44"/>
    </sheetView>
  </sheetViews>
  <sheetFormatPr defaultRowHeight="14.4" x14ac:dyDescent="0.3"/>
  <cols>
    <col min="1" max="4" width="10.6640625" customWidth="1"/>
    <col min="5" max="5" width="24.5546875" bestFit="1" customWidth="1"/>
    <col min="6" max="6" width="9.44140625" customWidth="1"/>
    <col min="7" max="7" width="23.5546875" bestFit="1" customWidth="1"/>
    <col min="8" max="8" width="23.33203125" bestFit="1" customWidth="1"/>
    <col min="9" max="9" width="7.109375" bestFit="1" customWidth="1"/>
    <col min="10" max="10" width="18.5546875" bestFit="1" customWidth="1"/>
    <col min="11" max="18" width="24.21875" bestFit="1" customWidth="1"/>
    <col min="19" max="19" width="10.33203125" bestFit="1" customWidth="1"/>
  </cols>
  <sheetData>
    <row r="1" spans="5:9" ht="15" customHeight="1" x14ac:dyDescent="0.3"/>
    <row r="2" spans="5:9" ht="15" customHeight="1" x14ac:dyDescent="0.3"/>
    <row r="3" spans="5:9" ht="15" customHeight="1" x14ac:dyDescent="0.3"/>
    <row r="4" spans="5:9" ht="15" customHeight="1" x14ac:dyDescent="0.3"/>
    <row r="7" spans="5:9" x14ac:dyDescent="0.3">
      <c r="E7" s="12" t="s">
        <v>193</v>
      </c>
    </row>
    <row r="8" spans="5:9" x14ac:dyDescent="0.3">
      <c r="E8" s="12" t="s">
        <v>147</v>
      </c>
      <c r="F8" s="12" t="s">
        <v>154</v>
      </c>
      <c r="G8" s="12" t="s">
        <v>0</v>
      </c>
      <c r="H8" s="12" t="s">
        <v>102</v>
      </c>
      <c r="I8" t="s">
        <v>252</v>
      </c>
    </row>
    <row r="9" spans="5:9" x14ac:dyDescent="0.3">
      <c r="E9" t="s">
        <v>148</v>
      </c>
      <c r="F9" t="s">
        <v>155</v>
      </c>
      <c r="G9" t="s">
        <v>4</v>
      </c>
      <c r="H9" t="s">
        <v>56</v>
      </c>
      <c r="I9" s="5">
        <v>8.3000000000000001E-4</v>
      </c>
    </row>
    <row r="10" spans="5:9" x14ac:dyDescent="0.3">
      <c r="H10" t="s">
        <v>49</v>
      </c>
      <c r="I10" s="5">
        <v>1.9E-3</v>
      </c>
    </row>
    <row r="11" spans="5:9" x14ac:dyDescent="0.3">
      <c r="H11" t="s">
        <v>44</v>
      </c>
      <c r="I11" s="5">
        <v>1.5E-3</v>
      </c>
    </row>
    <row r="12" spans="5:9" x14ac:dyDescent="0.3">
      <c r="H12" t="s">
        <v>172</v>
      </c>
      <c r="I12" s="5">
        <v>1.5E-3</v>
      </c>
    </row>
    <row r="13" spans="5:9" x14ac:dyDescent="0.3">
      <c r="H13" t="s">
        <v>207</v>
      </c>
      <c r="I13" s="5">
        <v>1.57E-3</v>
      </c>
    </row>
    <row r="14" spans="5:9" x14ac:dyDescent="0.3">
      <c r="G14" t="s">
        <v>158</v>
      </c>
      <c r="H14" t="s">
        <v>162</v>
      </c>
      <c r="I14" s="5">
        <v>1.0480000000000001E-3</v>
      </c>
    </row>
    <row r="15" spans="5:9" x14ac:dyDescent="0.3">
      <c r="G15" t="s">
        <v>159</v>
      </c>
      <c r="H15" t="s">
        <v>162</v>
      </c>
      <c r="I15" s="5">
        <v>3.8000000000000002E-5</v>
      </c>
    </row>
    <row r="16" spans="5:9" x14ac:dyDescent="0.3">
      <c r="G16" t="s">
        <v>160</v>
      </c>
      <c r="H16" t="s">
        <v>162</v>
      </c>
      <c r="I16" s="5">
        <v>3.4699999999999998E-4</v>
      </c>
    </row>
    <row r="17" spans="7:9" x14ac:dyDescent="0.3">
      <c r="G17" t="s">
        <v>9</v>
      </c>
      <c r="H17" t="s">
        <v>56</v>
      </c>
      <c r="I17" s="5">
        <v>8.3000000000000001E-4</v>
      </c>
    </row>
    <row r="18" spans="7:9" x14ac:dyDescent="0.3">
      <c r="H18" t="s">
        <v>44</v>
      </c>
      <c r="I18" s="5">
        <v>5.0000000000000001E-4</v>
      </c>
    </row>
    <row r="19" spans="7:9" x14ac:dyDescent="0.3">
      <c r="G19" t="s">
        <v>181</v>
      </c>
      <c r="H19" t="s">
        <v>172</v>
      </c>
      <c r="I19" s="5">
        <v>2.0000000000000001E-4</v>
      </c>
    </row>
    <row r="20" spans="7:9" x14ac:dyDescent="0.3">
      <c r="G20" t="s">
        <v>14</v>
      </c>
      <c r="H20" t="s">
        <v>104</v>
      </c>
      <c r="I20" s="5">
        <v>5.2300000000000003E-4</v>
      </c>
    </row>
    <row r="21" spans="7:9" x14ac:dyDescent="0.3">
      <c r="G21" t="s">
        <v>59</v>
      </c>
      <c r="H21" t="s">
        <v>172</v>
      </c>
      <c r="I21" s="5">
        <v>6.9999999999999999E-4</v>
      </c>
    </row>
    <row r="22" spans="7:9" x14ac:dyDescent="0.3">
      <c r="G22" t="s">
        <v>8</v>
      </c>
      <c r="H22" t="s">
        <v>44</v>
      </c>
      <c r="I22" s="5">
        <v>6.9999999999999999E-4</v>
      </c>
    </row>
    <row r="23" spans="7:9" x14ac:dyDescent="0.3">
      <c r="G23" t="s">
        <v>6</v>
      </c>
      <c r="H23" t="s">
        <v>44</v>
      </c>
      <c r="I23" s="5">
        <v>8.9999999999999998E-4</v>
      </c>
    </row>
    <row r="24" spans="7:9" x14ac:dyDescent="0.3">
      <c r="G24" t="s">
        <v>11</v>
      </c>
      <c r="H24" t="s">
        <v>56</v>
      </c>
      <c r="I24" s="5">
        <v>8.3000000000000001E-4</v>
      </c>
    </row>
    <row r="25" spans="7:9" x14ac:dyDescent="0.3">
      <c r="H25" t="s">
        <v>104</v>
      </c>
      <c r="I25" s="5">
        <v>6.3000000000000003E-4</v>
      </c>
    </row>
    <row r="26" spans="7:9" x14ac:dyDescent="0.3">
      <c r="H26" t="s">
        <v>44</v>
      </c>
      <c r="I26" s="5">
        <v>5.9999999999999995E-4</v>
      </c>
    </row>
    <row r="27" spans="7:9" x14ac:dyDescent="0.3">
      <c r="H27" t="s">
        <v>172</v>
      </c>
      <c r="I27" s="5">
        <v>5.0000000000000001E-4</v>
      </c>
    </row>
    <row r="28" spans="7:9" x14ac:dyDescent="0.3">
      <c r="G28" t="s">
        <v>10</v>
      </c>
      <c r="H28" t="s">
        <v>44</v>
      </c>
      <c r="I28" s="5">
        <v>4.0000000000000002E-4</v>
      </c>
    </row>
    <row r="29" spans="7:9" x14ac:dyDescent="0.3">
      <c r="G29" t="s">
        <v>57</v>
      </c>
      <c r="H29" t="s">
        <v>172</v>
      </c>
      <c r="I29" s="5">
        <v>2.0000000000000001E-4</v>
      </c>
    </row>
    <row r="30" spans="7:9" x14ac:dyDescent="0.3">
      <c r="G30" t="s">
        <v>7</v>
      </c>
      <c r="H30" t="s">
        <v>44</v>
      </c>
      <c r="I30" s="5">
        <v>8.0000000000000004E-4</v>
      </c>
    </row>
    <row r="31" spans="7:9" x14ac:dyDescent="0.3">
      <c r="G31" t="s">
        <v>12</v>
      </c>
      <c r="H31" t="s">
        <v>56</v>
      </c>
      <c r="I31" s="5">
        <v>8.3000000000000001E-4</v>
      </c>
    </row>
    <row r="32" spans="7:9" x14ac:dyDescent="0.3">
      <c r="H32" t="s">
        <v>44</v>
      </c>
      <c r="I32" s="5">
        <v>2.0000000000000001E-4</v>
      </c>
    </row>
    <row r="33" spans="6:9" x14ac:dyDescent="0.3">
      <c r="H33" t="s">
        <v>172</v>
      </c>
      <c r="I33" s="5">
        <v>2.9999999999999997E-4</v>
      </c>
    </row>
    <row r="34" spans="6:9" x14ac:dyDescent="0.3">
      <c r="G34" t="s">
        <v>5</v>
      </c>
      <c r="H34" t="s">
        <v>44</v>
      </c>
      <c r="I34" s="5">
        <v>1E-3</v>
      </c>
    </row>
    <row r="35" spans="6:9" x14ac:dyDescent="0.3">
      <c r="G35" t="s">
        <v>63</v>
      </c>
      <c r="H35" t="s">
        <v>56</v>
      </c>
      <c r="I35" s="5">
        <v>2.1000000000000001E-4</v>
      </c>
    </row>
    <row r="36" spans="6:9" x14ac:dyDescent="0.3">
      <c r="G36" t="s">
        <v>180</v>
      </c>
      <c r="H36" t="s">
        <v>172</v>
      </c>
      <c r="I36" s="5">
        <v>2.0000000000000001E-4</v>
      </c>
    </row>
    <row r="37" spans="6:9" x14ac:dyDescent="0.3">
      <c r="G37" t="s">
        <v>182</v>
      </c>
      <c r="H37" t="s">
        <v>172</v>
      </c>
      <c r="I37" s="5">
        <v>9.7000000000000005E-4</v>
      </c>
    </row>
    <row r="38" spans="6:9" x14ac:dyDescent="0.3">
      <c r="G38" t="s">
        <v>196</v>
      </c>
      <c r="H38" t="s">
        <v>194</v>
      </c>
      <c r="I38" s="5"/>
    </row>
    <row r="39" spans="6:9" x14ac:dyDescent="0.3">
      <c r="G39" t="s">
        <v>197</v>
      </c>
      <c r="H39" t="s">
        <v>194</v>
      </c>
      <c r="I39" s="5"/>
    </row>
    <row r="40" spans="6:9" x14ac:dyDescent="0.3">
      <c r="G40" t="s">
        <v>198</v>
      </c>
      <c r="H40" t="s">
        <v>194</v>
      </c>
      <c r="I40" s="5"/>
    </row>
    <row r="41" spans="6:9" x14ac:dyDescent="0.3">
      <c r="G41" t="s">
        <v>211</v>
      </c>
      <c r="H41" t="s">
        <v>207</v>
      </c>
      <c r="I41" s="5">
        <v>5.6999999999999998E-4</v>
      </c>
    </row>
    <row r="42" spans="6:9" x14ac:dyDescent="0.3">
      <c r="F42" t="s">
        <v>156</v>
      </c>
      <c r="G42" t="s">
        <v>20</v>
      </c>
      <c r="H42" t="s">
        <v>44</v>
      </c>
      <c r="I42" s="5">
        <v>2.9999999999999997E-4</v>
      </c>
    </row>
    <row r="43" spans="6:9" x14ac:dyDescent="0.3">
      <c r="G43" t="s">
        <v>19</v>
      </c>
      <c r="H43" t="s">
        <v>44</v>
      </c>
      <c r="I43" s="5">
        <v>2.9999999999999997E-4</v>
      </c>
    </row>
    <row r="44" spans="6:9" x14ac:dyDescent="0.3">
      <c r="G44" t="s">
        <v>4</v>
      </c>
      <c r="H44" t="s">
        <v>207</v>
      </c>
      <c r="I44" s="5">
        <v>1.57E-3</v>
      </c>
    </row>
    <row r="45" spans="6:9" x14ac:dyDescent="0.3">
      <c r="G45" t="s">
        <v>61</v>
      </c>
      <c r="H45" t="s">
        <v>56</v>
      </c>
      <c r="I45" s="5">
        <v>1.55E-4</v>
      </c>
    </row>
    <row r="46" spans="6:9" x14ac:dyDescent="0.3">
      <c r="G46" t="s">
        <v>16</v>
      </c>
      <c r="H46" t="s">
        <v>44</v>
      </c>
      <c r="I46" s="5">
        <v>2.9999999999999997E-4</v>
      </c>
    </row>
    <row r="47" spans="6:9" x14ac:dyDescent="0.3">
      <c r="G47" t="s">
        <v>25</v>
      </c>
      <c r="H47" t="s">
        <v>44</v>
      </c>
      <c r="I47" s="5">
        <v>2.0000000000000001E-4</v>
      </c>
    </row>
    <row r="48" spans="6:9" x14ac:dyDescent="0.3">
      <c r="G48" t="s">
        <v>58</v>
      </c>
      <c r="H48" t="s">
        <v>56</v>
      </c>
      <c r="I48" s="5">
        <v>2.4000000000000001E-4</v>
      </c>
    </row>
    <row r="49" spans="7:9" x14ac:dyDescent="0.3">
      <c r="G49" t="s">
        <v>62</v>
      </c>
      <c r="H49" t="s">
        <v>56</v>
      </c>
      <c r="I49" s="5">
        <v>8.4999999999999995E-4</v>
      </c>
    </row>
    <row r="50" spans="7:9" x14ac:dyDescent="0.3">
      <c r="G50" t="s">
        <v>14</v>
      </c>
      <c r="H50" t="s">
        <v>44</v>
      </c>
      <c r="I50" s="5">
        <v>6.9999999999999999E-4</v>
      </c>
    </row>
    <row r="51" spans="7:9" x14ac:dyDescent="0.3">
      <c r="G51" t="s">
        <v>59</v>
      </c>
      <c r="H51" t="s">
        <v>56</v>
      </c>
      <c r="I51" s="5">
        <v>5.9999999999999995E-4</v>
      </c>
    </row>
    <row r="52" spans="7:9" x14ac:dyDescent="0.3">
      <c r="H52" t="s">
        <v>207</v>
      </c>
      <c r="I52" s="5">
        <v>8.9999999999999998E-4</v>
      </c>
    </row>
    <row r="53" spans="7:9" x14ac:dyDescent="0.3">
      <c r="G53" t="s">
        <v>22</v>
      </c>
      <c r="H53" t="s">
        <v>44</v>
      </c>
      <c r="I53" s="5">
        <v>2.0000000000000001E-4</v>
      </c>
    </row>
    <row r="54" spans="7:9" x14ac:dyDescent="0.3">
      <c r="G54" t="s">
        <v>23</v>
      </c>
      <c r="H54" t="s">
        <v>44</v>
      </c>
      <c r="I54" s="5">
        <v>2.0000000000000001E-4</v>
      </c>
    </row>
    <row r="55" spans="7:9" x14ac:dyDescent="0.3">
      <c r="G55" t="s">
        <v>24</v>
      </c>
      <c r="H55" t="s">
        <v>44</v>
      </c>
      <c r="I55" s="5">
        <v>2.0000000000000001E-4</v>
      </c>
    </row>
    <row r="56" spans="7:9" x14ac:dyDescent="0.3">
      <c r="G56" t="s">
        <v>57</v>
      </c>
      <c r="H56" t="s">
        <v>56</v>
      </c>
      <c r="I56" s="5">
        <v>1.55E-4</v>
      </c>
    </row>
    <row r="57" spans="7:9" x14ac:dyDescent="0.3">
      <c r="G57" t="s">
        <v>26</v>
      </c>
      <c r="H57" t="s">
        <v>44</v>
      </c>
      <c r="I57" s="5">
        <v>2.0000000000000001E-4</v>
      </c>
    </row>
    <row r="58" spans="7:9" x14ac:dyDescent="0.3">
      <c r="G58" t="s">
        <v>17</v>
      </c>
      <c r="H58" t="s">
        <v>44</v>
      </c>
      <c r="I58" s="5">
        <v>2.9999999999999997E-4</v>
      </c>
    </row>
    <row r="59" spans="7:9" x14ac:dyDescent="0.3">
      <c r="G59" t="s">
        <v>15</v>
      </c>
      <c r="H59" t="s">
        <v>44</v>
      </c>
      <c r="I59" s="5">
        <v>2.9999999999999997E-4</v>
      </c>
    </row>
    <row r="60" spans="7:9" x14ac:dyDescent="0.3">
      <c r="G60" t="s">
        <v>21</v>
      </c>
      <c r="H60" t="s">
        <v>44</v>
      </c>
      <c r="I60" s="5">
        <v>2.0000000000000001E-4</v>
      </c>
    </row>
    <row r="61" spans="7:9" x14ac:dyDescent="0.3">
      <c r="G61" t="s">
        <v>18</v>
      </c>
      <c r="H61" t="s">
        <v>44</v>
      </c>
      <c r="I61" s="5">
        <v>2.9999999999999997E-4</v>
      </c>
    </row>
    <row r="62" spans="7:9" x14ac:dyDescent="0.3">
      <c r="G62" t="s">
        <v>13</v>
      </c>
      <c r="H62" t="s">
        <v>44</v>
      </c>
      <c r="I62" s="5">
        <v>6.9999999999999999E-4</v>
      </c>
    </row>
    <row r="63" spans="7:9" x14ac:dyDescent="0.3">
      <c r="H63" t="s">
        <v>207</v>
      </c>
      <c r="I63" s="5">
        <v>3.2000000000000003E-4</v>
      </c>
    </row>
    <row r="64" spans="7:9" x14ac:dyDescent="0.3">
      <c r="G64" t="s">
        <v>60</v>
      </c>
      <c r="H64" t="s">
        <v>56</v>
      </c>
      <c r="I64" s="5">
        <v>1.4999999999999999E-4</v>
      </c>
    </row>
    <row r="65" spans="5:9" x14ac:dyDescent="0.3">
      <c r="G65" t="s">
        <v>196</v>
      </c>
      <c r="H65" t="s">
        <v>194</v>
      </c>
      <c r="I65" s="5"/>
    </row>
    <row r="66" spans="5:9" x14ac:dyDescent="0.3">
      <c r="G66" t="s">
        <v>197</v>
      </c>
      <c r="H66" t="s">
        <v>194</v>
      </c>
      <c r="I66" s="5"/>
    </row>
    <row r="67" spans="5:9" x14ac:dyDescent="0.3">
      <c r="G67" t="s">
        <v>198</v>
      </c>
      <c r="H67" t="s">
        <v>194</v>
      </c>
      <c r="I67" s="5"/>
    </row>
    <row r="68" spans="5:9" x14ac:dyDescent="0.3">
      <c r="G68" t="s">
        <v>211</v>
      </c>
      <c r="H68" t="s">
        <v>207</v>
      </c>
      <c r="I68" s="5">
        <v>5.6999999999999998E-4</v>
      </c>
    </row>
    <row r="69" spans="5:9" x14ac:dyDescent="0.3">
      <c r="G69" t="s">
        <v>208</v>
      </c>
      <c r="H69" t="s">
        <v>207</v>
      </c>
      <c r="I69" s="5">
        <v>6.6E-4</v>
      </c>
    </row>
    <row r="70" spans="5:9" x14ac:dyDescent="0.3">
      <c r="G70" t="s">
        <v>209</v>
      </c>
      <c r="H70" t="s">
        <v>207</v>
      </c>
      <c r="I70" s="5">
        <v>3.5999999999999997E-4</v>
      </c>
    </row>
    <row r="71" spans="5:9" x14ac:dyDescent="0.3">
      <c r="G71" t="s">
        <v>210</v>
      </c>
      <c r="H71" t="s">
        <v>207</v>
      </c>
      <c r="I71" s="5">
        <v>2.0999999999999998E-4</v>
      </c>
    </row>
    <row r="72" spans="5:9" x14ac:dyDescent="0.3">
      <c r="E72" t="s">
        <v>151</v>
      </c>
      <c r="F72" t="s">
        <v>156</v>
      </c>
      <c r="G72" t="s">
        <v>38</v>
      </c>
      <c r="H72" t="s">
        <v>44</v>
      </c>
      <c r="I72" s="5">
        <v>2.0000000000000001E-4</v>
      </c>
    </row>
    <row r="73" spans="5:9" x14ac:dyDescent="0.3">
      <c r="G73" t="s">
        <v>27</v>
      </c>
      <c r="H73" t="s">
        <v>44</v>
      </c>
      <c r="I73" s="5">
        <v>2.0000000000000001E-4</v>
      </c>
    </row>
    <row r="74" spans="5:9" x14ac:dyDescent="0.3">
      <c r="E74" t="s">
        <v>153</v>
      </c>
      <c r="F74" t="s">
        <v>155</v>
      </c>
      <c r="G74" t="s">
        <v>89</v>
      </c>
      <c r="H74" t="s">
        <v>85</v>
      </c>
      <c r="I74" s="5">
        <v>2.1700000000000002E-4</v>
      </c>
    </row>
    <row r="75" spans="5:9" x14ac:dyDescent="0.3">
      <c r="G75" t="s">
        <v>90</v>
      </c>
      <c r="H75" t="s">
        <v>85</v>
      </c>
      <c r="I75" s="5">
        <v>4.8100000000000004E-4</v>
      </c>
    </row>
    <row r="76" spans="5:9" x14ac:dyDescent="0.3">
      <c r="E76" t="s">
        <v>149</v>
      </c>
      <c r="F76" t="s">
        <v>155</v>
      </c>
      <c r="G76" t="s">
        <v>186</v>
      </c>
      <c r="H76" t="s">
        <v>172</v>
      </c>
      <c r="I76" s="5">
        <v>5.5215999999999998E-3</v>
      </c>
    </row>
    <row r="77" spans="5:9" x14ac:dyDescent="0.3">
      <c r="G77" t="s">
        <v>179</v>
      </c>
      <c r="H77" t="s">
        <v>172</v>
      </c>
      <c r="I77" s="5">
        <v>4.6864000000000003E-3</v>
      </c>
    </row>
    <row r="78" spans="5:9" x14ac:dyDescent="0.3">
      <c r="G78" t="s">
        <v>76</v>
      </c>
      <c r="H78" t="s">
        <v>74</v>
      </c>
      <c r="I78" s="5">
        <v>7.4240000000000009E-3</v>
      </c>
    </row>
    <row r="79" spans="5:9" x14ac:dyDescent="0.3">
      <c r="H79" t="s">
        <v>172</v>
      </c>
      <c r="I79" s="5">
        <v>9.2800000000000001E-3</v>
      </c>
    </row>
    <row r="80" spans="5:9" x14ac:dyDescent="0.3">
      <c r="G80" t="s">
        <v>184</v>
      </c>
      <c r="H80" t="s">
        <v>172</v>
      </c>
      <c r="I80" s="5">
        <v>6.7280000000000005E-3</v>
      </c>
    </row>
    <row r="81" spans="5:9" x14ac:dyDescent="0.3">
      <c r="G81" t="s">
        <v>164</v>
      </c>
      <c r="H81" t="s">
        <v>162</v>
      </c>
      <c r="I81" s="5">
        <v>1.685E-2</v>
      </c>
    </row>
    <row r="82" spans="5:9" x14ac:dyDescent="0.3">
      <c r="G82" t="s">
        <v>166</v>
      </c>
      <c r="H82" t="s">
        <v>162</v>
      </c>
      <c r="I82" s="5">
        <v>3.0079999999999998E-3</v>
      </c>
    </row>
    <row r="83" spans="5:9" x14ac:dyDescent="0.3">
      <c r="G83" t="s">
        <v>165</v>
      </c>
      <c r="H83" t="s">
        <v>162</v>
      </c>
      <c r="I83" s="5">
        <v>7.6049999999999998E-3</v>
      </c>
    </row>
    <row r="84" spans="5:9" x14ac:dyDescent="0.3">
      <c r="G84" t="s">
        <v>95</v>
      </c>
      <c r="H84" t="s">
        <v>93</v>
      </c>
      <c r="I84" s="5">
        <v>4.0000000000000001E-3</v>
      </c>
    </row>
    <row r="85" spans="5:9" x14ac:dyDescent="0.3">
      <c r="G85" t="s">
        <v>185</v>
      </c>
      <c r="H85" t="s">
        <v>172</v>
      </c>
      <c r="I85" s="5">
        <v>4.8256000000000002E-3</v>
      </c>
    </row>
    <row r="86" spans="5:9" x14ac:dyDescent="0.3">
      <c r="G86" t="s">
        <v>77</v>
      </c>
      <c r="H86" t="s">
        <v>74</v>
      </c>
      <c r="I86" s="5">
        <v>5.568E-3</v>
      </c>
    </row>
    <row r="87" spans="5:9" x14ac:dyDescent="0.3">
      <c r="H87" t="s">
        <v>172</v>
      </c>
      <c r="I87" s="5">
        <v>5.568E-3</v>
      </c>
    </row>
    <row r="88" spans="5:9" x14ac:dyDescent="0.3">
      <c r="G88" t="s">
        <v>78</v>
      </c>
      <c r="H88" t="s">
        <v>74</v>
      </c>
      <c r="I88" s="5">
        <v>6.356800000000001E-3</v>
      </c>
    </row>
    <row r="89" spans="5:9" x14ac:dyDescent="0.3">
      <c r="H89" t="s">
        <v>172</v>
      </c>
      <c r="I89" s="5">
        <v>6.356800000000001E-3</v>
      </c>
    </row>
    <row r="90" spans="5:9" x14ac:dyDescent="0.3">
      <c r="G90" t="s">
        <v>79</v>
      </c>
      <c r="H90" t="s">
        <v>74</v>
      </c>
      <c r="I90" s="5">
        <v>5.4288000000000001E-3</v>
      </c>
    </row>
    <row r="91" spans="5:9" x14ac:dyDescent="0.3">
      <c r="G91" t="s">
        <v>183</v>
      </c>
      <c r="H91" t="s">
        <v>172</v>
      </c>
      <c r="I91" s="5">
        <v>6.0320000000000009E-3</v>
      </c>
    </row>
    <row r="92" spans="5:9" x14ac:dyDescent="0.3">
      <c r="G92" t="s">
        <v>80</v>
      </c>
      <c r="H92" t="s">
        <v>74</v>
      </c>
      <c r="I92" s="5">
        <v>5.1040000000000009E-3</v>
      </c>
    </row>
    <row r="93" spans="5:9" x14ac:dyDescent="0.3">
      <c r="H93" t="s">
        <v>172</v>
      </c>
      <c r="I93" s="5">
        <v>5.5215999999999998E-3</v>
      </c>
    </row>
    <row r="94" spans="5:9" x14ac:dyDescent="0.3">
      <c r="G94" t="s">
        <v>142</v>
      </c>
      <c r="H94" t="s">
        <v>172</v>
      </c>
      <c r="I94" s="5">
        <v>5.4288000000000001E-3</v>
      </c>
    </row>
    <row r="95" spans="5:9" x14ac:dyDescent="0.3">
      <c r="G95" t="s">
        <v>199</v>
      </c>
      <c r="H95" t="s">
        <v>194</v>
      </c>
      <c r="I95" s="5"/>
    </row>
    <row r="96" spans="5:9" x14ac:dyDescent="0.3">
      <c r="E96" t="s">
        <v>150</v>
      </c>
      <c r="F96" t="s">
        <v>155</v>
      </c>
      <c r="G96" t="s">
        <v>101</v>
      </c>
      <c r="H96" t="s">
        <v>98</v>
      </c>
      <c r="I96" s="5">
        <v>3.3E-3</v>
      </c>
    </row>
    <row r="97" spans="5:9" x14ac:dyDescent="0.3">
      <c r="G97" t="s">
        <v>111</v>
      </c>
      <c r="H97" t="s">
        <v>116</v>
      </c>
      <c r="I97" s="5">
        <v>1.34E-3</v>
      </c>
    </row>
    <row r="98" spans="5:9" x14ac:dyDescent="0.3">
      <c r="G98" t="s">
        <v>107</v>
      </c>
      <c r="H98" t="s">
        <v>110</v>
      </c>
      <c r="I98" s="5">
        <v>1.8649999999999999E-3</v>
      </c>
    </row>
    <row r="99" spans="5:9" x14ac:dyDescent="0.3">
      <c r="G99" t="s">
        <v>100</v>
      </c>
      <c r="H99" t="s">
        <v>98</v>
      </c>
      <c r="I99" s="5">
        <v>3.5000000000000001E-3</v>
      </c>
    </row>
    <row r="100" spans="5:9" x14ac:dyDescent="0.3">
      <c r="G100" t="s">
        <v>87</v>
      </c>
      <c r="H100" t="s">
        <v>85</v>
      </c>
      <c r="I100" s="5">
        <v>3.16E-3</v>
      </c>
    </row>
    <row r="101" spans="5:9" x14ac:dyDescent="0.3">
      <c r="H101" t="s">
        <v>98</v>
      </c>
      <c r="I101" s="5">
        <v>3.2000000000000002E-3</v>
      </c>
    </row>
    <row r="102" spans="5:9" x14ac:dyDescent="0.3">
      <c r="H102" t="s">
        <v>116</v>
      </c>
      <c r="I102" s="5">
        <v>3.16E-3</v>
      </c>
    </row>
    <row r="103" spans="5:9" x14ac:dyDescent="0.3">
      <c r="G103" t="s">
        <v>88</v>
      </c>
      <c r="H103" t="s">
        <v>85</v>
      </c>
      <c r="I103" s="5">
        <v>9.2400000000000002E-4</v>
      </c>
    </row>
    <row r="104" spans="5:9" x14ac:dyDescent="0.3">
      <c r="E104" t="s">
        <v>192</v>
      </c>
      <c r="I104" s="5">
        <v>0.17530640000000006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03F70-C082-44DE-A7E7-9AC69CBB4EDE}">
  <dimension ref="A1:X96"/>
  <sheetViews>
    <sheetView tabSelected="1" topLeftCell="H1" workbookViewId="0">
      <selection activeCell="M20" sqref="M20"/>
    </sheetView>
  </sheetViews>
  <sheetFormatPr defaultRowHeight="14.4" outlineLevelCol="1" x14ac:dyDescent="0.3"/>
  <cols>
    <col min="1" max="2" width="5.77734375" customWidth="1"/>
    <col min="4" max="4" width="18.21875" bestFit="1" customWidth="1"/>
    <col min="5" max="5" width="33.33203125" bestFit="1" customWidth="1"/>
    <col min="6" max="6" width="33.33203125" customWidth="1"/>
    <col min="7" max="7" width="17.6640625" customWidth="1"/>
    <col min="8" max="8" width="14.44140625" bestFit="1" customWidth="1"/>
    <col min="9" max="9" width="25.5546875" customWidth="1" outlineLevel="1"/>
    <col min="10" max="11" width="12.77734375" customWidth="1" outlineLevel="1"/>
    <col min="12" max="13" width="25.5546875" customWidth="1" outlineLevel="1"/>
    <col min="14" max="14" width="10.5546875" customWidth="1" outlineLevel="1"/>
    <col min="15" max="15" width="10.5546875" customWidth="1"/>
    <col min="16" max="16" width="20" customWidth="1"/>
    <col min="17" max="17" width="34.5546875" bestFit="1" customWidth="1"/>
    <col min="18" max="18" width="11.6640625" bestFit="1" customWidth="1"/>
    <col min="19" max="19" width="26.21875" customWidth="1"/>
    <col min="20" max="20" width="22.77734375" bestFit="1" customWidth="1"/>
    <col min="21" max="21" width="23" bestFit="1" customWidth="1"/>
    <col min="22" max="22" width="22.44140625" bestFit="1" customWidth="1"/>
    <col min="23" max="23" width="27.6640625" bestFit="1" customWidth="1"/>
    <col min="24" max="24" width="18.109375" bestFit="1" customWidth="1"/>
  </cols>
  <sheetData>
    <row r="1" spans="1:24" x14ac:dyDescent="0.3">
      <c r="A1" s="1" t="s">
        <v>223</v>
      </c>
      <c r="B1" s="1" t="s">
        <v>112</v>
      </c>
      <c r="C1" s="1" t="s">
        <v>203</v>
      </c>
      <c r="D1" s="1" t="s">
        <v>0</v>
      </c>
      <c r="E1" s="1" t="s">
        <v>43</v>
      </c>
      <c r="F1" s="1" t="s">
        <v>2</v>
      </c>
      <c r="G1" s="1" t="s">
        <v>147</v>
      </c>
      <c r="H1" s="1" t="s">
        <v>28</v>
      </c>
      <c r="I1" s="1" t="s">
        <v>51</v>
      </c>
      <c r="J1" s="1" t="s">
        <v>218</v>
      </c>
      <c r="K1" s="1" t="s">
        <v>177</v>
      </c>
      <c r="L1" s="1" t="s">
        <v>217</v>
      </c>
      <c r="M1" s="1" t="s">
        <v>29</v>
      </c>
      <c r="N1" s="1" t="s">
        <v>30</v>
      </c>
      <c r="O1" s="1" t="s">
        <v>154</v>
      </c>
      <c r="P1" s="1" t="s">
        <v>31</v>
      </c>
      <c r="Q1" s="1" t="s">
        <v>40</v>
      </c>
      <c r="R1" s="1" t="s">
        <v>42</v>
      </c>
      <c r="S1" s="1" t="s">
        <v>102</v>
      </c>
      <c r="T1" s="16" t="s">
        <v>248</v>
      </c>
      <c r="U1" s="16" t="s">
        <v>249</v>
      </c>
      <c r="V1" s="16" t="s">
        <v>247</v>
      </c>
      <c r="W1" s="1" t="s">
        <v>250</v>
      </c>
      <c r="X1" s="1" t="s">
        <v>251</v>
      </c>
    </row>
    <row r="2" spans="1:24" x14ac:dyDescent="0.3">
      <c r="A2">
        <v>1</v>
      </c>
      <c r="B2">
        <v>1</v>
      </c>
      <c r="D2" t="s">
        <v>4</v>
      </c>
      <c r="E2" s="7" t="s">
        <v>126</v>
      </c>
      <c r="F2">
        <v>37384</v>
      </c>
      <c r="G2" s="7" t="s">
        <v>148</v>
      </c>
      <c r="H2" s="5">
        <v>1.5E-3</v>
      </c>
      <c r="I2">
        <v>3</v>
      </c>
      <c r="K2">
        <v>47</v>
      </c>
      <c r="L2">
        <f>+Table2[[#This Row],[Brine Water]]+Table2[[#This Row],[Freshwater]]</f>
        <v>47</v>
      </c>
      <c r="M2" t="s">
        <v>32</v>
      </c>
      <c r="N2" t="s">
        <v>34</v>
      </c>
      <c r="O2" t="s">
        <v>155</v>
      </c>
      <c r="P2" t="s">
        <v>35</v>
      </c>
      <c r="Q2" t="s">
        <v>41</v>
      </c>
      <c r="R2">
        <v>3</v>
      </c>
      <c r="S2" t="str">
        <f>+VLOOKUP(R2,Refs[],2,0)</f>
        <v>Schenker &amp; Pfister (2025)</v>
      </c>
      <c r="T2" s="4" t="str">
        <f>IF(ISBLANK(Table2[[#This Row],[Brine Water]]),"",+VLOOKUP(Table2[[#This Row],[Unit num]]&amp;"/"&amp;Table2[[#This Row],[Unit den]],Conversion!$A$2:$B$50,2,0)*Table2[[#This Row],[Brine Water]])</f>
        <v/>
      </c>
      <c r="U2" s="4">
        <f>IF(ISBLANK(Table2[[#This Row],[Freshwater]]),"",+VLOOKUP(Table2[[#This Row],[Unit num]]&amp;"/"&amp;Table2[[#This Row],[Unit den]],Conversion!$A$2:$B$50,2,0)*Table2[[#This Row],[Freshwater]])</f>
        <v>47</v>
      </c>
      <c r="V2" s="4">
        <f>+VLOOKUP(Table2[[#This Row],[Unit num]]&amp;"/"&amp;Table2[[#This Row],[Unit den]],Conversion!$A$2:$B$50,2,0)*Table2[[#This Row],[Total Water]]</f>
        <v>47</v>
      </c>
      <c r="W2" s="4">
        <f>IF(ISNUMBER(FIND("Brine",Table2[[#This Row],[Type]])),1/Table2[[#This Row],[Grade ore Li%]]/5.323,"")</f>
        <v>125.24265764919529</v>
      </c>
      <c r="X2" s="17" t="str">
        <f>+IF(ISBLANK(Table2[[#This Row],[Brine Water]]),"",Table2[[#This Row],[Brine_m3_tonLCE_GradeOnly]]/Table2[[#This Row],[BrineWater_m3_tonLCE]])</f>
        <v/>
      </c>
    </row>
    <row r="3" spans="1:24" x14ac:dyDescent="0.3">
      <c r="A3">
        <v>2</v>
      </c>
      <c r="B3">
        <v>1</v>
      </c>
      <c r="D3" t="s">
        <v>5</v>
      </c>
      <c r="E3" t="s">
        <v>5</v>
      </c>
      <c r="F3">
        <v>78031</v>
      </c>
      <c r="G3" t="s">
        <v>148</v>
      </c>
      <c r="H3" s="5">
        <v>1E-3</v>
      </c>
      <c r="I3">
        <v>3</v>
      </c>
      <c r="K3">
        <v>53</v>
      </c>
      <c r="L3">
        <f>+Table2[[#This Row],[Brine Water]]+Table2[[#This Row],[Freshwater]]</f>
        <v>53</v>
      </c>
      <c r="M3" t="s">
        <v>32</v>
      </c>
      <c r="N3" t="s">
        <v>34</v>
      </c>
      <c r="O3" t="s">
        <v>155</v>
      </c>
      <c r="P3" t="s">
        <v>35</v>
      </c>
      <c r="Q3" t="s">
        <v>41</v>
      </c>
      <c r="R3">
        <v>3</v>
      </c>
      <c r="S3" t="str">
        <f>+VLOOKUP(R3,Refs[],2,0)</f>
        <v>Schenker &amp; Pfister (2025)</v>
      </c>
      <c r="T3" s="4" t="str">
        <f>IF(ISBLANK(Table2[[#This Row],[Brine Water]]),"",+VLOOKUP(Table2[[#This Row],[Unit num]]&amp;"/"&amp;Table2[[#This Row],[Unit den]],Conversion!$A$2:$B$50,2,0)*Table2[[#This Row],[Brine Water]])</f>
        <v/>
      </c>
      <c r="U3" s="4">
        <f>IF(ISBLANK(Table2[[#This Row],[Freshwater]]),"",+VLOOKUP(Table2[[#This Row],[Unit num]]&amp;"/"&amp;Table2[[#This Row],[Unit den]],Conversion!$A$2:$B$50,2,0)*Table2[[#This Row],[Freshwater]])</f>
        <v>53</v>
      </c>
      <c r="V3" s="4">
        <f>+VLOOKUP(Table2[[#This Row],[Unit num]]&amp;"/"&amp;Table2[[#This Row],[Unit den]],Conversion!$A$2:$B$50,2,0)*Table2[[#This Row],[Total Water]]</f>
        <v>53</v>
      </c>
      <c r="W3" s="4">
        <f>IF(ISNUMBER(FIND("Brine",Table2[[#This Row],[Type]])),1/Table2[[#This Row],[Grade ore Li%]]/5.323,"")</f>
        <v>187.86398647379295</v>
      </c>
      <c r="X3" s="17" t="str">
        <f>+IF(ISBLANK(Table2[[#This Row],[Brine Water]]),"",Table2[[#This Row],[Brine_m3_tonLCE_GradeOnly]]/Table2[[#This Row],[BrineWater_m3_tonLCE]])</f>
        <v/>
      </c>
    </row>
    <row r="4" spans="1:24" x14ac:dyDescent="0.3">
      <c r="A4">
        <v>3</v>
      </c>
      <c r="B4">
        <v>1</v>
      </c>
      <c r="D4" t="s">
        <v>6</v>
      </c>
      <c r="E4" s="6" t="s">
        <v>127</v>
      </c>
      <c r="F4" s="6">
        <v>38700</v>
      </c>
      <c r="G4" s="6" t="s">
        <v>148</v>
      </c>
      <c r="H4" s="5">
        <v>8.9999999999999998E-4</v>
      </c>
      <c r="I4">
        <v>3</v>
      </c>
      <c r="K4">
        <v>200</v>
      </c>
      <c r="L4">
        <f>+Table2[[#This Row],[Brine Water]]+Table2[[#This Row],[Freshwater]]</f>
        <v>200</v>
      </c>
      <c r="M4" t="s">
        <v>32</v>
      </c>
      <c r="N4" t="s">
        <v>34</v>
      </c>
      <c r="O4" t="s">
        <v>155</v>
      </c>
      <c r="P4" t="s">
        <v>35</v>
      </c>
      <c r="Q4" t="s">
        <v>41</v>
      </c>
      <c r="R4">
        <v>3</v>
      </c>
      <c r="S4" t="str">
        <f>+VLOOKUP(R4,Refs[],2,0)</f>
        <v>Schenker &amp; Pfister (2025)</v>
      </c>
      <c r="T4" s="4" t="str">
        <f>IF(ISBLANK(Table2[[#This Row],[Brine Water]]),"",+VLOOKUP(Table2[[#This Row],[Unit num]]&amp;"/"&amp;Table2[[#This Row],[Unit den]],Conversion!$A$2:$B$50,2,0)*Table2[[#This Row],[Brine Water]])</f>
        <v/>
      </c>
      <c r="U4" s="4">
        <f>IF(ISBLANK(Table2[[#This Row],[Freshwater]]),"",+VLOOKUP(Table2[[#This Row],[Unit num]]&amp;"/"&amp;Table2[[#This Row],[Unit den]],Conversion!$A$2:$B$50,2,0)*Table2[[#This Row],[Freshwater]])</f>
        <v>200</v>
      </c>
      <c r="V4" s="4">
        <f>+VLOOKUP(Table2[[#This Row],[Unit num]]&amp;"/"&amp;Table2[[#This Row],[Unit den]],Conversion!$A$2:$B$50,2,0)*Table2[[#This Row],[Total Water]]</f>
        <v>200</v>
      </c>
      <c r="W4" s="4">
        <f>IF(ISNUMBER(FIND("Brine",Table2[[#This Row],[Type]])),1/Table2[[#This Row],[Grade ore Li%]]/5.323,"")</f>
        <v>208.73776274865884</v>
      </c>
      <c r="X4" s="17" t="str">
        <f>+IF(ISBLANK(Table2[[#This Row],[Brine Water]]),"",Table2[[#This Row],[Brine_m3_tonLCE_GradeOnly]]/Table2[[#This Row],[BrineWater_m3_tonLCE]])</f>
        <v/>
      </c>
    </row>
    <row r="5" spans="1:24" x14ac:dyDescent="0.3">
      <c r="A5">
        <v>4</v>
      </c>
      <c r="B5">
        <v>1</v>
      </c>
      <c r="D5" t="s">
        <v>7</v>
      </c>
      <c r="E5" t="s">
        <v>7</v>
      </c>
      <c r="F5">
        <v>37611</v>
      </c>
      <c r="G5" t="s">
        <v>148</v>
      </c>
      <c r="H5" s="5">
        <v>8.0000000000000004E-4</v>
      </c>
      <c r="I5">
        <v>3</v>
      </c>
      <c r="K5">
        <v>33</v>
      </c>
      <c r="L5">
        <f>+Table2[[#This Row],[Brine Water]]+Table2[[#This Row],[Freshwater]]</f>
        <v>33</v>
      </c>
      <c r="M5" t="s">
        <v>32</v>
      </c>
      <c r="N5" t="s">
        <v>34</v>
      </c>
      <c r="O5" t="s">
        <v>155</v>
      </c>
      <c r="P5" t="s">
        <v>35</v>
      </c>
      <c r="Q5" t="s">
        <v>41</v>
      </c>
      <c r="R5">
        <v>3</v>
      </c>
      <c r="S5" t="str">
        <f>+VLOOKUP(R5,Refs[],2,0)</f>
        <v>Schenker &amp; Pfister (2025)</v>
      </c>
      <c r="T5" s="4" t="str">
        <f>IF(ISBLANK(Table2[[#This Row],[Brine Water]]),"",+VLOOKUP(Table2[[#This Row],[Unit num]]&amp;"/"&amp;Table2[[#This Row],[Unit den]],Conversion!$A$2:$B$50,2,0)*Table2[[#This Row],[Brine Water]])</f>
        <v/>
      </c>
      <c r="U5" s="4">
        <f>IF(ISBLANK(Table2[[#This Row],[Freshwater]]),"",+VLOOKUP(Table2[[#This Row],[Unit num]]&amp;"/"&amp;Table2[[#This Row],[Unit den]],Conversion!$A$2:$B$50,2,0)*Table2[[#This Row],[Freshwater]])</f>
        <v>33</v>
      </c>
      <c r="V5" s="4">
        <f>+VLOOKUP(Table2[[#This Row],[Unit num]]&amp;"/"&amp;Table2[[#This Row],[Unit den]],Conversion!$A$2:$B$50,2,0)*Table2[[#This Row],[Total Water]]</f>
        <v>33</v>
      </c>
      <c r="W5" s="4">
        <f>IF(ISNUMBER(FIND("Brine",Table2[[#This Row],[Type]])),1/Table2[[#This Row],[Grade ore Li%]]/5.323,"")</f>
        <v>234.82998309224121</v>
      </c>
      <c r="X5" s="17" t="str">
        <f>+IF(ISBLANK(Table2[[#This Row],[Brine Water]]),"",Table2[[#This Row],[Brine_m3_tonLCE_GradeOnly]]/Table2[[#This Row],[BrineWater_m3_tonLCE]])</f>
        <v/>
      </c>
    </row>
    <row r="6" spans="1:24" x14ac:dyDescent="0.3">
      <c r="A6">
        <v>5</v>
      </c>
      <c r="B6">
        <v>1</v>
      </c>
      <c r="D6" t="s">
        <v>8</v>
      </c>
      <c r="E6" s="6" t="s">
        <v>128</v>
      </c>
      <c r="F6" s="6">
        <v>79236</v>
      </c>
      <c r="G6" s="6" t="s">
        <v>148</v>
      </c>
      <c r="H6" s="5">
        <v>6.9999999999999999E-4</v>
      </c>
      <c r="I6">
        <v>3</v>
      </c>
      <c r="K6">
        <v>61</v>
      </c>
      <c r="L6">
        <f>+Table2[[#This Row],[Brine Water]]+Table2[[#This Row],[Freshwater]]</f>
        <v>61</v>
      </c>
      <c r="M6" t="s">
        <v>32</v>
      </c>
      <c r="N6" t="s">
        <v>34</v>
      </c>
      <c r="O6" t="s">
        <v>155</v>
      </c>
      <c r="P6" t="s">
        <v>35</v>
      </c>
      <c r="Q6" t="s">
        <v>41</v>
      </c>
      <c r="R6">
        <v>3</v>
      </c>
      <c r="S6" t="str">
        <f>+VLOOKUP(R6,Refs[],2,0)</f>
        <v>Schenker &amp; Pfister (2025)</v>
      </c>
      <c r="T6" s="4" t="str">
        <f>IF(ISBLANK(Table2[[#This Row],[Brine Water]]),"",+VLOOKUP(Table2[[#This Row],[Unit num]]&amp;"/"&amp;Table2[[#This Row],[Unit den]],Conversion!$A$2:$B$50,2,0)*Table2[[#This Row],[Brine Water]])</f>
        <v/>
      </c>
      <c r="U6" s="4">
        <f>IF(ISBLANK(Table2[[#This Row],[Freshwater]]),"",+VLOOKUP(Table2[[#This Row],[Unit num]]&amp;"/"&amp;Table2[[#This Row],[Unit den]],Conversion!$A$2:$B$50,2,0)*Table2[[#This Row],[Freshwater]])</f>
        <v>61</v>
      </c>
      <c r="V6" s="4">
        <f>+VLOOKUP(Table2[[#This Row],[Unit num]]&amp;"/"&amp;Table2[[#This Row],[Unit den]],Conversion!$A$2:$B$50,2,0)*Table2[[#This Row],[Total Water]]</f>
        <v>61</v>
      </c>
      <c r="W6" s="4">
        <f>IF(ISNUMBER(FIND("Brine",Table2[[#This Row],[Type]])),1/Table2[[#This Row],[Grade ore Li%]]/5.323,"")</f>
        <v>268.37712353398996</v>
      </c>
      <c r="X6" s="17" t="str">
        <f>+IF(ISBLANK(Table2[[#This Row],[Brine Water]]),"",Table2[[#This Row],[Brine_m3_tonLCE_GradeOnly]]/Table2[[#This Row],[BrineWater_m3_tonLCE]])</f>
        <v/>
      </c>
    </row>
    <row r="7" spans="1:24" x14ac:dyDescent="0.3">
      <c r="A7">
        <v>6</v>
      </c>
      <c r="B7">
        <v>1</v>
      </c>
      <c r="D7" t="s">
        <v>9</v>
      </c>
      <c r="E7" t="e">
        <v>#N/A</v>
      </c>
      <c r="F7">
        <v>37624</v>
      </c>
      <c r="G7" t="s">
        <v>148</v>
      </c>
      <c r="H7" s="5">
        <v>5.0000000000000001E-4</v>
      </c>
      <c r="I7">
        <v>3</v>
      </c>
      <c r="K7">
        <v>56</v>
      </c>
      <c r="L7">
        <f>+Table2[[#This Row],[Brine Water]]+Table2[[#This Row],[Freshwater]]</f>
        <v>56</v>
      </c>
      <c r="M7" t="s">
        <v>32</v>
      </c>
      <c r="N7" t="s">
        <v>34</v>
      </c>
      <c r="O7" t="s">
        <v>155</v>
      </c>
      <c r="P7" t="s">
        <v>35</v>
      </c>
      <c r="Q7" t="s">
        <v>41</v>
      </c>
      <c r="R7">
        <v>3</v>
      </c>
      <c r="S7" t="str">
        <f>+VLOOKUP(R7,Refs[],2,0)</f>
        <v>Schenker &amp; Pfister (2025)</v>
      </c>
      <c r="T7" s="4" t="str">
        <f>IF(ISBLANK(Table2[[#This Row],[Brine Water]]),"",+VLOOKUP(Table2[[#This Row],[Unit num]]&amp;"/"&amp;Table2[[#This Row],[Unit den]],Conversion!$A$2:$B$50,2,0)*Table2[[#This Row],[Brine Water]])</f>
        <v/>
      </c>
      <c r="U7" s="4">
        <f>IF(ISBLANK(Table2[[#This Row],[Freshwater]]),"",+VLOOKUP(Table2[[#This Row],[Unit num]]&amp;"/"&amp;Table2[[#This Row],[Unit den]],Conversion!$A$2:$B$50,2,0)*Table2[[#This Row],[Freshwater]])</f>
        <v>56</v>
      </c>
      <c r="V7" s="4">
        <f>+VLOOKUP(Table2[[#This Row],[Unit num]]&amp;"/"&amp;Table2[[#This Row],[Unit den]],Conversion!$A$2:$B$50,2,0)*Table2[[#This Row],[Total Water]]</f>
        <v>56</v>
      </c>
      <c r="W7" s="4">
        <f>IF(ISNUMBER(FIND("Brine",Table2[[#This Row],[Type]])),1/Table2[[#This Row],[Grade ore Li%]]/5.323,"")</f>
        <v>375.7279729475859</v>
      </c>
      <c r="X7" s="17" t="str">
        <f>+IF(ISBLANK(Table2[[#This Row],[Brine Water]]),"",Table2[[#This Row],[Brine_m3_tonLCE_GradeOnly]]/Table2[[#This Row],[BrineWater_m3_tonLCE]])</f>
        <v/>
      </c>
    </row>
    <row r="8" spans="1:24" x14ac:dyDescent="0.3">
      <c r="A8">
        <v>7</v>
      </c>
      <c r="B8">
        <v>1</v>
      </c>
      <c r="D8" t="s">
        <v>10</v>
      </c>
      <c r="E8" s="6" t="s">
        <v>129</v>
      </c>
      <c r="F8" s="18">
        <v>77807</v>
      </c>
      <c r="G8" s="6" t="s">
        <v>148</v>
      </c>
      <c r="H8" s="5">
        <v>4.0000000000000002E-4</v>
      </c>
      <c r="I8">
        <v>3</v>
      </c>
      <c r="K8">
        <v>85</v>
      </c>
      <c r="L8">
        <f>+Table2[[#This Row],[Brine Water]]+Table2[[#This Row],[Freshwater]]</f>
        <v>85</v>
      </c>
      <c r="M8" t="s">
        <v>32</v>
      </c>
      <c r="N8" t="s">
        <v>34</v>
      </c>
      <c r="O8" t="s">
        <v>155</v>
      </c>
      <c r="P8" t="s">
        <v>35</v>
      </c>
      <c r="Q8" t="s">
        <v>41</v>
      </c>
      <c r="R8">
        <v>3</v>
      </c>
      <c r="S8" t="str">
        <f>+VLOOKUP(R8,Refs[],2,0)</f>
        <v>Schenker &amp; Pfister (2025)</v>
      </c>
      <c r="T8" s="4" t="str">
        <f>IF(ISBLANK(Table2[[#This Row],[Brine Water]]),"",+VLOOKUP(Table2[[#This Row],[Unit num]]&amp;"/"&amp;Table2[[#This Row],[Unit den]],Conversion!$A$2:$B$50,2,0)*Table2[[#This Row],[Brine Water]])</f>
        <v/>
      </c>
      <c r="U8" s="4">
        <f>IF(ISBLANK(Table2[[#This Row],[Freshwater]]),"",+VLOOKUP(Table2[[#This Row],[Unit num]]&amp;"/"&amp;Table2[[#This Row],[Unit den]],Conversion!$A$2:$B$50,2,0)*Table2[[#This Row],[Freshwater]])</f>
        <v>85</v>
      </c>
      <c r="V8" s="4">
        <f>+VLOOKUP(Table2[[#This Row],[Unit num]]&amp;"/"&amp;Table2[[#This Row],[Unit den]],Conversion!$A$2:$B$50,2,0)*Table2[[#This Row],[Total Water]]</f>
        <v>85</v>
      </c>
      <c r="W8" s="4">
        <f>IF(ISNUMBER(FIND("Brine",Table2[[#This Row],[Type]])),1/Table2[[#This Row],[Grade ore Li%]]/5.323,"")</f>
        <v>469.65996618448241</v>
      </c>
      <c r="X8" s="17" t="str">
        <f>+IF(ISBLANK(Table2[[#This Row],[Brine Water]]),"",Table2[[#This Row],[Brine_m3_tonLCE_GradeOnly]]/Table2[[#This Row],[BrineWater_m3_tonLCE]])</f>
        <v/>
      </c>
    </row>
    <row r="9" spans="1:24" x14ac:dyDescent="0.3">
      <c r="A9">
        <v>8</v>
      </c>
      <c r="B9">
        <v>1</v>
      </c>
      <c r="D9" t="s">
        <v>11</v>
      </c>
      <c r="E9" s="6" t="s">
        <v>130</v>
      </c>
      <c r="F9" s="18">
        <v>37059</v>
      </c>
      <c r="G9" s="6" t="s">
        <v>148</v>
      </c>
      <c r="H9" s="5">
        <v>5.9999999999999995E-4</v>
      </c>
      <c r="I9">
        <v>3</v>
      </c>
      <c r="K9">
        <v>128</v>
      </c>
      <c r="L9">
        <f>+Table2[[#This Row],[Brine Water]]+Table2[[#This Row],[Freshwater]]</f>
        <v>128</v>
      </c>
      <c r="M9" t="s">
        <v>32</v>
      </c>
      <c r="N9" t="s">
        <v>34</v>
      </c>
      <c r="O9" t="s">
        <v>155</v>
      </c>
      <c r="P9" t="s">
        <v>36</v>
      </c>
      <c r="Q9" t="s">
        <v>41</v>
      </c>
      <c r="R9">
        <v>3</v>
      </c>
      <c r="S9" t="str">
        <f>+VLOOKUP(R9,Refs[],2,0)</f>
        <v>Schenker &amp; Pfister (2025)</v>
      </c>
      <c r="T9" s="4" t="str">
        <f>IF(ISBLANK(Table2[[#This Row],[Brine Water]]),"",+VLOOKUP(Table2[[#This Row],[Unit num]]&amp;"/"&amp;Table2[[#This Row],[Unit den]],Conversion!$A$2:$B$50,2,0)*Table2[[#This Row],[Brine Water]])</f>
        <v/>
      </c>
      <c r="U9" s="4">
        <f>IF(ISBLANK(Table2[[#This Row],[Freshwater]]),"",+VLOOKUP(Table2[[#This Row],[Unit num]]&amp;"/"&amp;Table2[[#This Row],[Unit den]],Conversion!$A$2:$B$50,2,0)*Table2[[#This Row],[Freshwater]])</f>
        <v>128</v>
      </c>
      <c r="V9" s="4">
        <f>+VLOOKUP(Table2[[#This Row],[Unit num]]&amp;"/"&amp;Table2[[#This Row],[Unit den]],Conversion!$A$2:$B$50,2,0)*Table2[[#This Row],[Total Water]]</f>
        <v>128</v>
      </c>
      <c r="W9" s="4">
        <f>IF(ISNUMBER(FIND("Brine",Table2[[#This Row],[Type]])),1/Table2[[#This Row],[Grade ore Li%]]/5.323,"")</f>
        <v>313.10664412298826</v>
      </c>
      <c r="X9" s="17" t="str">
        <f>+IF(ISBLANK(Table2[[#This Row],[Brine Water]]),"",Table2[[#This Row],[Brine_m3_tonLCE_GradeOnly]]/Table2[[#This Row],[BrineWater_m3_tonLCE]])</f>
        <v/>
      </c>
    </row>
    <row r="10" spans="1:24" x14ac:dyDescent="0.3">
      <c r="A10">
        <v>9</v>
      </c>
      <c r="B10">
        <v>1</v>
      </c>
      <c r="D10" t="s">
        <v>12</v>
      </c>
      <c r="E10" t="s">
        <v>12</v>
      </c>
      <c r="F10">
        <v>37600</v>
      </c>
      <c r="G10" t="s">
        <v>148</v>
      </c>
      <c r="H10" s="5">
        <v>2.0000000000000001E-4</v>
      </c>
      <c r="I10">
        <v>3</v>
      </c>
      <c r="K10">
        <v>67</v>
      </c>
      <c r="L10">
        <f>+Table2[[#This Row],[Brine Water]]+Table2[[#This Row],[Freshwater]]</f>
        <v>67</v>
      </c>
      <c r="M10" t="s">
        <v>32</v>
      </c>
      <c r="N10" t="s">
        <v>34</v>
      </c>
      <c r="O10" t="s">
        <v>155</v>
      </c>
      <c r="P10" t="s">
        <v>36</v>
      </c>
      <c r="Q10" t="s">
        <v>41</v>
      </c>
      <c r="R10">
        <v>3</v>
      </c>
      <c r="S10" t="str">
        <f>+VLOOKUP(R10,Refs[],2,0)</f>
        <v>Schenker &amp; Pfister (2025)</v>
      </c>
      <c r="T10" s="4" t="str">
        <f>IF(ISBLANK(Table2[[#This Row],[Brine Water]]),"",+VLOOKUP(Table2[[#This Row],[Unit num]]&amp;"/"&amp;Table2[[#This Row],[Unit den]],Conversion!$A$2:$B$50,2,0)*Table2[[#This Row],[Brine Water]])</f>
        <v/>
      </c>
      <c r="U10" s="4">
        <f>IF(ISBLANK(Table2[[#This Row],[Freshwater]]),"",+VLOOKUP(Table2[[#This Row],[Unit num]]&amp;"/"&amp;Table2[[#This Row],[Unit den]],Conversion!$A$2:$B$50,2,0)*Table2[[#This Row],[Freshwater]])</f>
        <v>67</v>
      </c>
      <c r="V10" s="4">
        <f>+VLOOKUP(Table2[[#This Row],[Unit num]]&amp;"/"&amp;Table2[[#This Row],[Unit den]],Conversion!$A$2:$B$50,2,0)*Table2[[#This Row],[Total Water]]</f>
        <v>67</v>
      </c>
      <c r="W10" s="4">
        <f>IF(ISNUMBER(FIND("Brine",Table2[[#This Row],[Type]])),1/Table2[[#This Row],[Grade ore Li%]]/5.323,"")</f>
        <v>939.31993236896483</v>
      </c>
      <c r="X10" s="17" t="str">
        <f>+IF(ISBLANK(Table2[[#This Row],[Brine Water]]),"",Table2[[#This Row],[Brine_m3_tonLCE_GradeOnly]]/Table2[[#This Row],[BrineWater_m3_tonLCE]])</f>
        <v/>
      </c>
    </row>
    <row r="11" spans="1:24" x14ac:dyDescent="0.3">
      <c r="A11">
        <v>10</v>
      </c>
      <c r="B11">
        <v>1</v>
      </c>
      <c r="D11" t="s">
        <v>13</v>
      </c>
      <c r="E11" s="6" t="s">
        <v>131</v>
      </c>
      <c r="F11" s="18">
        <v>36153</v>
      </c>
      <c r="G11" s="6" t="s">
        <v>148</v>
      </c>
      <c r="H11" s="5">
        <v>6.9999999999999999E-4</v>
      </c>
      <c r="I11">
        <v>3</v>
      </c>
      <c r="J11" s="4"/>
      <c r="K11">
        <v>336</v>
      </c>
      <c r="L11">
        <f>+Table2[[#This Row],[Brine Water]]+Table2[[#This Row],[Freshwater]]</f>
        <v>336</v>
      </c>
      <c r="M11" t="s">
        <v>32</v>
      </c>
      <c r="N11" t="s">
        <v>34</v>
      </c>
      <c r="O11" t="s">
        <v>156</v>
      </c>
      <c r="P11" t="s">
        <v>37</v>
      </c>
      <c r="Q11" t="s">
        <v>41</v>
      </c>
      <c r="R11">
        <v>3</v>
      </c>
      <c r="S11" t="str">
        <f>+VLOOKUP(R11,Refs[],2,0)</f>
        <v>Schenker &amp; Pfister (2025)</v>
      </c>
      <c r="T11" s="4" t="str">
        <f>IF(ISBLANK(Table2[[#This Row],[Brine Water]]),"",+VLOOKUP(Table2[[#This Row],[Unit num]]&amp;"/"&amp;Table2[[#This Row],[Unit den]],Conversion!$A$2:$B$50,2,0)*Table2[[#This Row],[Brine Water]])</f>
        <v/>
      </c>
      <c r="U11" s="4">
        <f>IF(ISBLANK(Table2[[#This Row],[Freshwater]]),"",+VLOOKUP(Table2[[#This Row],[Unit num]]&amp;"/"&amp;Table2[[#This Row],[Unit den]],Conversion!$A$2:$B$50,2,0)*Table2[[#This Row],[Freshwater]])</f>
        <v>336</v>
      </c>
      <c r="V11" s="4">
        <f>+VLOOKUP(Table2[[#This Row],[Unit num]]&amp;"/"&amp;Table2[[#This Row],[Unit den]],Conversion!$A$2:$B$50,2,0)*Table2[[#This Row],[Total Water]]</f>
        <v>336</v>
      </c>
      <c r="W11" s="4">
        <f>IF(ISNUMBER(FIND("Brine",Table2[[#This Row],[Type]])),1/Table2[[#This Row],[Grade ore Li%]]/5.323,"")</f>
        <v>268.37712353398996</v>
      </c>
      <c r="X11" s="17" t="str">
        <f>+IF(ISBLANK(Table2[[#This Row],[Brine Water]]),"",Table2[[#This Row],[Brine_m3_tonLCE_GradeOnly]]/Table2[[#This Row],[BrineWater_m3_tonLCE]])</f>
        <v/>
      </c>
    </row>
    <row r="12" spans="1:24" x14ac:dyDescent="0.3">
      <c r="A12">
        <v>11</v>
      </c>
      <c r="B12">
        <v>1</v>
      </c>
      <c r="D12" t="s">
        <v>14</v>
      </c>
      <c r="E12" s="6" t="s">
        <v>227</v>
      </c>
      <c r="F12" s="18">
        <v>37611</v>
      </c>
      <c r="G12" t="s">
        <v>148</v>
      </c>
      <c r="H12" s="5">
        <v>6.9999999999999999E-4</v>
      </c>
      <c r="I12">
        <v>3</v>
      </c>
      <c r="J12" s="4"/>
      <c r="K12">
        <v>247</v>
      </c>
      <c r="L12">
        <f>+Table2[[#This Row],[Brine Water]]+Table2[[#This Row],[Freshwater]]</f>
        <v>247</v>
      </c>
      <c r="M12" t="s">
        <v>32</v>
      </c>
      <c r="N12" t="s">
        <v>34</v>
      </c>
      <c r="O12" t="s">
        <v>156</v>
      </c>
      <c r="P12" t="s">
        <v>37</v>
      </c>
      <c r="Q12" t="s">
        <v>41</v>
      </c>
      <c r="R12">
        <v>3</v>
      </c>
      <c r="S12" t="str">
        <f>+VLOOKUP(R12,Refs[],2,0)</f>
        <v>Schenker &amp; Pfister (2025)</v>
      </c>
      <c r="T12" s="4" t="str">
        <f>IF(ISBLANK(Table2[[#This Row],[Brine Water]]),"",+VLOOKUP(Table2[[#This Row],[Unit num]]&amp;"/"&amp;Table2[[#This Row],[Unit den]],Conversion!$A$2:$B$50,2,0)*Table2[[#This Row],[Brine Water]])</f>
        <v/>
      </c>
      <c r="U12" s="4">
        <f>IF(ISBLANK(Table2[[#This Row],[Freshwater]]),"",+VLOOKUP(Table2[[#This Row],[Unit num]]&amp;"/"&amp;Table2[[#This Row],[Unit den]],Conversion!$A$2:$B$50,2,0)*Table2[[#This Row],[Freshwater]])</f>
        <v>247</v>
      </c>
      <c r="V12" s="4">
        <f>+VLOOKUP(Table2[[#This Row],[Unit num]]&amp;"/"&amp;Table2[[#This Row],[Unit den]],Conversion!$A$2:$B$50,2,0)*Table2[[#This Row],[Total Water]]</f>
        <v>247</v>
      </c>
      <c r="W12" s="4">
        <f>IF(ISNUMBER(FIND("Brine",Table2[[#This Row],[Type]])),1/Table2[[#This Row],[Grade ore Li%]]/5.323,"")</f>
        <v>268.37712353398996</v>
      </c>
      <c r="X12" s="17" t="str">
        <f>+IF(ISBLANK(Table2[[#This Row],[Brine Water]]),"",Table2[[#This Row],[Brine_m3_tonLCE_GradeOnly]]/Table2[[#This Row],[BrineWater_m3_tonLCE]])</f>
        <v/>
      </c>
    </row>
    <row r="13" spans="1:24" x14ac:dyDescent="0.3">
      <c r="A13">
        <v>12</v>
      </c>
      <c r="B13">
        <v>1</v>
      </c>
      <c r="D13" t="s">
        <v>15</v>
      </c>
      <c r="E13" t="e">
        <v>#N/A</v>
      </c>
      <c r="F13">
        <v>80111</v>
      </c>
      <c r="G13" t="s">
        <v>148</v>
      </c>
      <c r="H13" s="5">
        <v>2.9999999999999997E-4</v>
      </c>
      <c r="I13">
        <v>3</v>
      </c>
      <c r="J13" s="4"/>
      <c r="K13">
        <v>261</v>
      </c>
      <c r="L13">
        <f>+Table2[[#This Row],[Brine Water]]+Table2[[#This Row],[Freshwater]]</f>
        <v>261</v>
      </c>
      <c r="M13" t="s">
        <v>32</v>
      </c>
      <c r="N13" t="s">
        <v>34</v>
      </c>
      <c r="O13" t="s">
        <v>156</v>
      </c>
      <c r="P13" t="s">
        <v>37</v>
      </c>
      <c r="Q13" t="s">
        <v>41</v>
      </c>
      <c r="R13">
        <v>3</v>
      </c>
      <c r="S13" t="str">
        <f>+VLOOKUP(R13,Refs[],2,0)</f>
        <v>Schenker &amp; Pfister (2025)</v>
      </c>
      <c r="T13" s="4" t="str">
        <f>IF(ISBLANK(Table2[[#This Row],[Brine Water]]),"",+VLOOKUP(Table2[[#This Row],[Unit num]]&amp;"/"&amp;Table2[[#This Row],[Unit den]],Conversion!$A$2:$B$50,2,0)*Table2[[#This Row],[Brine Water]])</f>
        <v/>
      </c>
      <c r="U13" s="4">
        <f>IF(ISBLANK(Table2[[#This Row],[Freshwater]]),"",+VLOOKUP(Table2[[#This Row],[Unit num]]&amp;"/"&amp;Table2[[#This Row],[Unit den]],Conversion!$A$2:$B$50,2,0)*Table2[[#This Row],[Freshwater]])</f>
        <v>261</v>
      </c>
      <c r="V13" s="4">
        <f>+VLOOKUP(Table2[[#This Row],[Unit num]]&amp;"/"&amp;Table2[[#This Row],[Unit den]],Conversion!$A$2:$B$50,2,0)*Table2[[#This Row],[Total Water]]</f>
        <v>261</v>
      </c>
      <c r="W13" s="4">
        <f>IF(ISNUMBER(FIND("Brine",Table2[[#This Row],[Type]])),1/Table2[[#This Row],[Grade ore Li%]]/5.323,"")</f>
        <v>626.21328824597651</v>
      </c>
      <c r="X13" s="17" t="str">
        <f>+IF(ISBLANK(Table2[[#This Row],[Brine Water]]),"",Table2[[#This Row],[Brine_m3_tonLCE_GradeOnly]]/Table2[[#This Row],[BrineWater_m3_tonLCE]])</f>
        <v/>
      </c>
    </row>
    <row r="14" spans="1:24" x14ac:dyDescent="0.3">
      <c r="A14">
        <v>13</v>
      </c>
      <c r="B14">
        <v>1</v>
      </c>
      <c r="D14" t="s">
        <v>16</v>
      </c>
      <c r="E14" s="6" t="s">
        <v>132</v>
      </c>
      <c r="F14" s="18">
        <v>52372</v>
      </c>
      <c r="G14" s="6" t="s">
        <v>148</v>
      </c>
      <c r="H14" s="5">
        <v>2.9999999999999997E-4</v>
      </c>
      <c r="I14">
        <v>3</v>
      </c>
      <c r="J14" s="4"/>
      <c r="K14">
        <v>265</v>
      </c>
      <c r="L14">
        <f>+Table2[[#This Row],[Brine Water]]+Table2[[#This Row],[Freshwater]]</f>
        <v>265</v>
      </c>
      <c r="M14" t="s">
        <v>32</v>
      </c>
      <c r="N14" t="s">
        <v>34</v>
      </c>
      <c r="O14" t="s">
        <v>156</v>
      </c>
      <c r="P14" t="s">
        <v>37</v>
      </c>
      <c r="Q14" t="s">
        <v>41</v>
      </c>
      <c r="R14">
        <v>3</v>
      </c>
      <c r="S14" t="str">
        <f>+VLOOKUP(R14,Refs[],2,0)</f>
        <v>Schenker &amp; Pfister (2025)</v>
      </c>
      <c r="T14" s="4" t="str">
        <f>IF(ISBLANK(Table2[[#This Row],[Brine Water]]),"",+VLOOKUP(Table2[[#This Row],[Unit num]]&amp;"/"&amp;Table2[[#This Row],[Unit den]],Conversion!$A$2:$B$50,2,0)*Table2[[#This Row],[Brine Water]])</f>
        <v/>
      </c>
      <c r="U14" s="4">
        <f>IF(ISBLANK(Table2[[#This Row],[Freshwater]]),"",+VLOOKUP(Table2[[#This Row],[Unit num]]&amp;"/"&amp;Table2[[#This Row],[Unit den]],Conversion!$A$2:$B$50,2,0)*Table2[[#This Row],[Freshwater]])</f>
        <v>265</v>
      </c>
      <c r="V14" s="4">
        <f>+VLOOKUP(Table2[[#This Row],[Unit num]]&amp;"/"&amp;Table2[[#This Row],[Unit den]],Conversion!$A$2:$B$50,2,0)*Table2[[#This Row],[Total Water]]</f>
        <v>265</v>
      </c>
      <c r="W14" s="4">
        <f>IF(ISNUMBER(FIND("Brine",Table2[[#This Row],[Type]])),1/Table2[[#This Row],[Grade ore Li%]]/5.323,"")</f>
        <v>626.21328824597651</v>
      </c>
      <c r="X14" s="17" t="str">
        <f>+IF(ISBLANK(Table2[[#This Row],[Brine Water]]),"",Table2[[#This Row],[Brine_m3_tonLCE_GradeOnly]]/Table2[[#This Row],[BrineWater_m3_tonLCE]])</f>
        <v/>
      </c>
    </row>
    <row r="15" spans="1:24" x14ac:dyDescent="0.3">
      <c r="A15">
        <v>14</v>
      </c>
      <c r="B15">
        <v>1</v>
      </c>
      <c r="D15" t="s">
        <v>17</v>
      </c>
      <c r="E15" s="7" t="s">
        <v>133</v>
      </c>
      <c r="F15" s="7">
        <v>78109</v>
      </c>
      <c r="G15" s="7" t="s">
        <v>148</v>
      </c>
      <c r="H15" s="5">
        <v>2.9999999999999997E-4</v>
      </c>
      <c r="I15">
        <v>3</v>
      </c>
      <c r="J15" s="4"/>
      <c r="K15">
        <v>269</v>
      </c>
      <c r="L15">
        <f>+Table2[[#This Row],[Brine Water]]+Table2[[#This Row],[Freshwater]]</f>
        <v>269</v>
      </c>
      <c r="M15" t="s">
        <v>32</v>
      </c>
      <c r="N15" t="s">
        <v>34</v>
      </c>
      <c r="O15" t="s">
        <v>156</v>
      </c>
      <c r="P15" t="s">
        <v>37</v>
      </c>
      <c r="Q15" t="s">
        <v>41</v>
      </c>
      <c r="R15">
        <v>3</v>
      </c>
      <c r="S15" t="str">
        <f>+VLOOKUP(R15,Refs[],2,0)</f>
        <v>Schenker &amp; Pfister (2025)</v>
      </c>
      <c r="T15" s="4" t="str">
        <f>IF(ISBLANK(Table2[[#This Row],[Brine Water]]),"",+VLOOKUP(Table2[[#This Row],[Unit num]]&amp;"/"&amp;Table2[[#This Row],[Unit den]],Conversion!$A$2:$B$50,2,0)*Table2[[#This Row],[Brine Water]])</f>
        <v/>
      </c>
      <c r="U15" s="4">
        <f>IF(ISBLANK(Table2[[#This Row],[Freshwater]]),"",+VLOOKUP(Table2[[#This Row],[Unit num]]&amp;"/"&amp;Table2[[#This Row],[Unit den]],Conversion!$A$2:$B$50,2,0)*Table2[[#This Row],[Freshwater]])</f>
        <v>269</v>
      </c>
      <c r="V15" s="4">
        <f>+VLOOKUP(Table2[[#This Row],[Unit num]]&amp;"/"&amp;Table2[[#This Row],[Unit den]],Conversion!$A$2:$B$50,2,0)*Table2[[#This Row],[Total Water]]</f>
        <v>269</v>
      </c>
      <c r="W15" s="4">
        <f>IF(ISNUMBER(FIND("Brine",Table2[[#This Row],[Type]])),1/Table2[[#This Row],[Grade ore Li%]]/5.323,"")</f>
        <v>626.21328824597651</v>
      </c>
      <c r="X15" s="17" t="str">
        <f>+IF(ISBLANK(Table2[[#This Row],[Brine Water]]),"",Table2[[#This Row],[Brine_m3_tonLCE_GradeOnly]]/Table2[[#This Row],[BrineWater_m3_tonLCE]])</f>
        <v/>
      </c>
    </row>
    <row r="16" spans="1:24" x14ac:dyDescent="0.3">
      <c r="A16">
        <v>15</v>
      </c>
      <c r="B16">
        <v>1</v>
      </c>
      <c r="D16" t="s">
        <v>18</v>
      </c>
      <c r="E16" t="e">
        <v>#N/A</v>
      </c>
      <c r="F16" s="18">
        <v>84909</v>
      </c>
      <c r="G16" s="7" t="s">
        <v>148</v>
      </c>
      <c r="H16" s="5">
        <v>2.9999999999999997E-4</v>
      </c>
      <c r="I16">
        <v>3</v>
      </c>
      <c r="J16" s="4"/>
      <c r="K16">
        <v>269</v>
      </c>
      <c r="L16">
        <f>+Table2[[#This Row],[Brine Water]]+Table2[[#This Row],[Freshwater]]</f>
        <v>269</v>
      </c>
      <c r="M16" t="s">
        <v>32</v>
      </c>
      <c r="N16" t="s">
        <v>34</v>
      </c>
      <c r="O16" t="s">
        <v>156</v>
      </c>
      <c r="P16" t="s">
        <v>37</v>
      </c>
      <c r="Q16" t="s">
        <v>41</v>
      </c>
      <c r="R16">
        <v>3</v>
      </c>
      <c r="S16" t="str">
        <f>+VLOOKUP(R16,Refs[],2,0)</f>
        <v>Schenker &amp; Pfister (2025)</v>
      </c>
      <c r="T16" s="4" t="str">
        <f>IF(ISBLANK(Table2[[#This Row],[Brine Water]]),"",+VLOOKUP(Table2[[#This Row],[Unit num]]&amp;"/"&amp;Table2[[#This Row],[Unit den]],Conversion!$A$2:$B$50,2,0)*Table2[[#This Row],[Brine Water]])</f>
        <v/>
      </c>
      <c r="U16" s="4">
        <f>IF(ISBLANK(Table2[[#This Row],[Freshwater]]),"",+VLOOKUP(Table2[[#This Row],[Unit num]]&amp;"/"&amp;Table2[[#This Row],[Unit den]],Conversion!$A$2:$B$50,2,0)*Table2[[#This Row],[Freshwater]])</f>
        <v>269</v>
      </c>
      <c r="V16" s="4">
        <f>+VLOOKUP(Table2[[#This Row],[Unit num]]&amp;"/"&amp;Table2[[#This Row],[Unit den]],Conversion!$A$2:$B$50,2,0)*Table2[[#This Row],[Total Water]]</f>
        <v>269</v>
      </c>
      <c r="W16" s="4">
        <f>IF(ISNUMBER(FIND("Brine",Table2[[#This Row],[Type]])),1/Table2[[#This Row],[Grade ore Li%]]/5.323,"")</f>
        <v>626.21328824597651</v>
      </c>
      <c r="X16" s="17" t="str">
        <f>+IF(ISBLANK(Table2[[#This Row],[Brine Water]]),"",Table2[[#This Row],[Brine_m3_tonLCE_GradeOnly]]/Table2[[#This Row],[BrineWater_m3_tonLCE]])</f>
        <v/>
      </c>
    </row>
    <row r="17" spans="1:24" x14ac:dyDescent="0.3">
      <c r="A17">
        <v>16</v>
      </c>
      <c r="B17">
        <v>1</v>
      </c>
      <c r="D17" t="s">
        <v>19</v>
      </c>
      <c r="E17" t="s">
        <v>19</v>
      </c>
      <c r="F17" s="6">
        <v>60483</v>
      </c>
      <c r="G17" t="s">
        <v>148</v>
      </c>
      <c r="H17" s="5">
        <v>2.9999999999999997E-4</v>
      </c>
      <c r="I17">
        <v>3</v>
      </c>
      <c r="J17" s="4"/>
      <c r="K17">
        <v>324</v>
      </c>
      <c r="L17">
        <f>+Table2[[#This Row],[Brine Water]]+Table2[[#This Row],[Freshwater]]</f>
        <v>324</v>
      </c>
      <c r="M17" t="s">
        <v>32</v>
      </c>
      <c r="N17" t="s">
        <v>34</v>
      </c>
      <c r="O17" t="s">
        <v>156</v>
      </c>
      <c r="P17" t="s">
        <v>37</v>
      </c>
      <c r="Q17" t="s">
        <v>41</v>
      </c>
      <c r="R17">
        <v>3</v>
      </c>
      <c r="S17" t="str">
        <f>+VLOOKUP(R17,Refs[],2,0)</f>
        <v>Schenker &amp; Pfister (2025)</v>
      </c>
      <c r="T17" s="4" t="str">
        <f>IF(ISBLANK(Table2[[#This Row],[Brine Water]]),"",+VLOOKUP(Table2[[#This Row],[Unit num]]&amp;"/"&amp;Table2[[#This Row],[Unit den]],Conversion!$A$2:$B$50,2,0)*Table2[[#This Row],[Brine Water]])</f>
        <v/>
      </c>
      <c r="U17" s="4">
        <f>IF(ISBLANK(Table2[[#This Row],[Freshwater]]),"",+VLOOKUP(Table2[[#This Row],[Unit num]]&amp;"/"&amp;Table2[[#This Row],[Unit den]],Conversion!$A$2:$B$50,2,0)*Table2[[#This Row],[Freshwater]])</f>
        <v>324</v>
      </c>
      <c r="V17" s="4">
        <f>+VLOOKUP(Table2[[#This Row],[Unit num]]&amp;"/"&amp;Table2[[#This Row],[Unit den]],Conversion!$A$2:$B$50,2,0)*Table2[[#This Row],[Total Water]]</f>
        <v>324</v>
      </c>
      <c r="W17" s="4">
        <f>IF(ISNUMBER(FIND("Brine",Table2[[#This Row],[Type]])),1/Table2[[#This Row],[Grade ore Li%]]/5.323,"")</f>
        <v>626.21328824597651</v>
      </c>
      <c r="X17" s="17" t="str">
        <f>+IF(ISBLANK(Table2[[#This Row],[Brine Water]]),"",Table2[[#This Row],[Brine_m3_tonLCE_GradeOnly]]/Table2[[#This Row],[BrineWater_m3_tonLCE]])</f>
        <v/>
      </c>
    </row>
    <row r="18" spans="1:24" x14ac:dyDescent="0.3">
      <c r="A18">
        <v>17</v>
      </c>
      <c r="B18">
        <v>1</v>
      </c>
      <c r="D18" t="s">
        <v>20</v>
      </c>
      <c r="E18" t="e">
        <v>#N/A</v>
      </c>
      <c r="F18">
        <v>92966</v>
      </c>
      <c r="G18" t="s">
        <v>148</v>
      </c>
      <c r="H18" s="5">
        <v>2.9999999999999997E-4</v>
      </c>
      <c r="I18">
        <v>3</v>
      </c>
      <c r="J18" s="4"/>
      <c r="K18">
        <v>252</v>
      </c>
      <c r="L18">
        <f>+Table2[[#This Row],[Brine Water]]+Table2[[#This Row],[Freshwater]]</f>
        <v>252</v>
      </c>
      <c r="M18" t="s">
        <v>32</v>
      </c>
      <c r="N18" t="s">
        <v>34</v>
      </c>
      <c r="O18" t="s">
        <v>156</v>
      </c>
      <c r="P18" t="s">
        <v>37</v>
      </c>
      <c r="Q18" t="s">
        <v>41</v>
      </c>
      <c r="R18">
        <v>3</v>
      </c>
      <c r="S18" t="str">
        <f>+VLOOKUP(R18,Refs[],2,0)</f>
        <v>Schenker &amp; Pfister (2025)</v>
      </c>
      <c r="T18" s="4" t="str">
        <f>IF(ISBLANK(Table2[[#This Row],[Brine Water]]),"",+VLOOKUP(Table2[[#This Row],[Unit num]]&amp;"/"&amp;Table2[[#This Row],[Unit den]],Conversion!$A$2:$B$50,2,0)*Table2[[#This Row],[Brine Water]])</f>
        <v/>
      </c>
      <c r="U18" s="4">
        <f>IF(ISBLANK(Table2[[#This Row],[Freshwater]]),"",+VLOOKUP(Table2[[#This Row],[Unit num]]&amp;"/"&amp;Table2[[#This Row],[Unit den]],Conversion!$A$2:$B$50,2,0)*Table2[[#This Row],[Freshwater]])</f>
        <v>252</v>
      </c>
      <c r="V18" s="4">
        <f>+VLOOKUP(Table2[[#This Row],[Unit num]]&amp;"/"&amp;Table2[[#This Row],[Unit den]],Conversion!$A$2:$B$50,2,0)*Table2[[#This Row],[Total Water]]</f>
        <v>252</v>
      </c>
      <c r="W18" s="4">
        <f>IF(ISNUMBER(FIND("Brine",Table2[[#This Row],[Type]])),1/Table2[[#This Row],[Grade ore Li%]]/5.323,"")</f>
        <v>626.21328824597651</v>
      </c>
      <c r="X18" s="17" t="str">
        <f>+IF(ISBLANK(Table2[[#This Row],[Brine Water]]),"",Table2[[#This Row],[Brine_m3_tonLCE_GradeOnly]]/Table2[[#This Row],[BrineWater_m3_tonLCE]])</f>
        <v/>
      </c>
    </row>
    <row r="19" spans="1:24" x14ac:dyDescent="0.3">
      <c r="A19">
        <v>18</v>
      </c>
      <c r="B19">
        <v>1</v>
      </c>
      <c r="D19" t="s">
        <v>21</v>
      </c>
      <c r="E19" t="e">
        <v>#N/A</v>
      </c>
      <c r="F19" s="18">
        <v>38323</v>
      </c>
      <c r="G19" t="s">
        <v>148</v>
      </c>
      <c r="H19" s="5">
        <v>2.0000000000000001E-4</v>
      </c>
      <c r="I19">
        <v>3</v>
      </c>
      <c r="J19" s="4"/>
      <c r="K19">
        <v>272</v>
      </c>
      <c r="L19">
        <f>+Table2[[#This Row],[Brine Water]]+Table2[[#This Row],[Freshwater]]</f>
        <v>272</v>
      </c>
      <c r="M19" t="s">
        <v>32</v>
      </c>
      <c r="N19" t="s">
        <v>34</v>
      </c>
      <c r="O19" t="s">
        <v>156</v>
      </c>
      <c r="P19" t="s">
        <v>37</v>
      </c>
      <c r="Q19" t="s">
        <v>41</v>
      </c>
      <c r="R19">
        <v>3</v>
      </c>
      <c r="S19" t="str">
        <f>+VLOOKUP(R19,Refs[],2,0)</f>
        <v>Schenker &amp; Pfister (2025)</v>
      </c>
      <c r="T19" s="4" t="str">
        <f>IF(ISBLANK(Table2[[#This Row],[Brine Water]]),"",+VLOOKUP(Table2[[#This Row],[Unit num]]&amp;"/"&amp;Table2[[#This Row],[Unit den]],Conversion!$A$2:$B$50,2,0)*Table2[[#This Row],[Brine Water]])</f>
        <v/>
      </c>
      <c r="U19" s="4">
        <f>IF(ISBLANK(Table2[[#This Row],[Freshwater]]),"",+VLOOKUP(Table2[[#This Row],[Unit num]]&amp;"/"&amp;Table2[[#This Row],[Unit den]],Conversion!$A$2:$B$50,2,0)*Table2[[#This Row],[Freshwater]])</f>
        <v>272</v>
      </c>
      <c r="V19" s="4">
        <f>+VLOOKUP(Table2[[#This Row],[Unit num]]&amp;"/"&amp;Table2[[#This Row],[Unit den]],Conversion!$A$2:$B$50,2,0)*Table2[[#This Row],[Total Water]]</f>
        <v>272</v>
      </c>
      <c r="W19" s="4">
        <f>IF(ISNUMBER(FIND("Brine",Table2[[#This Row],[Type]])),1/Table2[[#This Row],[Grade ore Li%]]/5.323,"")</f>
        <v>939.31993236896483</v>
      </c>
      <c r="X19" s="17" t="str">
        <f>+IF(ISBLANK(Table2[[#This Row],[Brine Water]]),"",Table2[[#This Row],[Brine_m3_tonLCE_GradeOnly]]/Table2[[#This Row],[BrineWater_m3_tonLCE]])</f>
        <v/>
      </c>
    </row>
    <row r="20" spans="1:24" x14ac:dyDescent="0.3">
      <c r="A20">
        <v>19</v>
      </c>
      <c r="B20">
        <v>1</v>
      </c>
      <c r="D20" t="s">
        <v>22</v>
      </c>
      <c r="E20" t="s">
        <v>22</v>
      </c>
      <c r="F20">
        <v>78657</v>
      </c>
      <c r="G20" t="s">
        <v>148</v>
      </c>
      <c r="H20" s="5">
        <v>2.0000000000000001E-4</v>
      </c>
      <c r="I20">
        <v>3</v>
      </c>
      <c r="J20" s="4"/>
      <c r="K20">
        <v>304</v>
      </c>
      <c r="L20">
        <f>+Table2[[#This Row],[Brine Water]]+Table2[[#This Row],[Freshwater]]</f>
        <v>304</v>
      </c>
      <c r="M20" t="s">
        <v>32</v>
      </c>
      <c r="N20" t="s">
        <v>34</v>
      </c>
      <c r="O20" t="s">
        <v>156</v>
      </c>
      <c r="P20" t="s">
        <v>37</v>
      </c>
      <c r="Q20" t="s">
        <v>41</v>
      </c>
      <c r="R20">
        <v>3</v>
      </c>
      <c r="S20" t="str">
        <f>+VLOOKUP(R20,Refs[],2,0)</f>
        <v>Schenker &amp; Pfister (2025)</v>
      </c>
      <c r="T20" s="4" t="str">
        <f>IF(ISBLANK(Table2[[#This Row],[Brine Water]]),"",+VLOOKUP(Table2[[#This Row],[Unit num]]&amp;"/"&amp;Table2[[#This Row],[Unit den]],Conversion!$A$2:$B$50,2,0)*Table2[[#This Row],[Brine Water]])</f>
        <v/>
      </c>
      <c r="U20" s="4">
        <f>IF(ISBLANK(Table2[[#This Row],[Freshwater]]),"",+VLOOKUP(Table2[[#This Row],[Unit num]]&amp;"/"&amp;Table2[[#This Row],[Unit den]],Conversion!$A$2:$B$50,2,0)*Table2[[#This Row],[Freshwater]])</f>
        <v>304</v>
      </c>
      <c r="V20" s="4">
        <f>+VLOOKUP(Table2[[#This Row],[Unit num]]&amp;"/"&amp;Table2[[#This Row],[Unit den]],Conversion!$A$2:$B$50,2,0)*Table2[[#This Row],[Total Water]]</f>
        <v>304</v>
      </c>
      <c r="W20" s="4">
        <f>IF(ISNUMBER(FIND("Brine",Table2[[#This Row],[Type]])),1/Table2[[#This Row],[Grade ore Li%]]/5.323,"")</f>
        <v>939.31993236896483</v>
      </c>
      <c r="X20" s="17" t="str">
        <f>+IF(ISBLANK(Table2[[#This Row],[Brine Water]]),"",Table2[[#This Row],[Brine_m3_tonLCE_GradeOnly]]/Table2[[#This Row],[BrineWater_m3_tonLCE]])</f>
        <v/>
      </c>
    </row>
    <row r="21" spans="1:24" x14ac:dyDescent="0.3">
      <c r="A21">
        <v>20</v>
      </c>
      <c r="B21">
        <v>1</v>
      </c>
      <c r="D21" t="s">
        <v>23</v>
      </c>
      <c r="E21" s="6" t="s">
        <v>134</v>
      </c>
      <c r="F21" s="18">
        <v>37628</v>
      </c>
      <c r="G21" s="6" t="s">
        <v>148</v>
      </c>
      <c r="H21" s="5">
        <v>2.0000000000000001E-4</v>
      </c>
      <c r="I21">
        <v>3</v>
      </c>
      <c r="J21" s="4"/>
      <c r="K21">
        <v>281</v>
      </c>
      <c r="L21">
        <f>+Table2[[#This Row],[Brine Water]]+Table2[[#This Row],[Freshwater]]</f>
        <v>281</v>
      </c>
      <c r="M21" t="s">
        <v>32</v>
      </c>
      <c r="N21" t="s">
        <v>34</v>
      </c>
      <c r="O21" t="s">
        <v>156</v>
      </c>
      <c r="P21" t="s">
        <v>37</v>
      </c>
      <c r="Q21" t="s">
        <v>41</v>
      </c>
      <c r="R21">
        <v>3</v>
      </c>
      <c r="S21" t="str">
        <f>+VLOOKUP(R21,Refs[],2,0)</f>
        <v>Schenker &amp; Pfister (2025)</v>
      </c>
      <c r="T21" s="4" t="str">
        <f>IF(ISBLANK(Table2[[#This Row],[Brine Water]]),"",+VLOOKUP(Table2[[#This Row],[Unit num]]&amp;"/"&amp;Table2[[#This Row],[Unit den]],Conversion!$A$2:$B$50,2,0)*Table2[[#This Row],[Brine Water]])</f>
        <v/>
      </c>
      <c r="U21" s="4">
        <f>IF(ISBLANK(Table2[[#This Row],[Freshwater]]),"",+VLOOKUP(Table2[[#This Row],[Unit num]]&amp;"/"&amp;Table2[[#This Row],[Unit den]],Conversion!$A$2:$B$50,2,0)*Table2[[#This Row],[Freshwater]])</f>
        <v>281</v>
      </c>
      <c r="V21" s="4">
        <f>+VLOOKUP(Table2[[#This Row],[Unit num]]&amp;"/"&amp;Table2[[#This Row],[Unit den]],Conversion!$A$2:$B$50,2,0)*Table2[[#This Row],[Total Water]]</f>
        <v>281</v>
      </c>
      <c r="W21" s="4">
        <f>IF(ISNUMBER(FIND("Brine",Table2[[#This Row],[Type]])),1/Table2[[#This Row],[Grade ore Li%]]/5.323,"")</f>
        <v>939.31993236896483</v>
      </c>
      <c r="X21" s="17" t="str">
        <f>+IF(ISBLANK(Table2[[#This Row],[Brine Water]]),"",Table2[[#This Row],[Brine_m3_tonLCE_GradeOnly]]/Table2[[#This Row],[BrineWater_m3_tonLCE]])</f>
        <v/>
      </c>
    </row>
    <row r="22" spans="1:24" x14ac:dyDescent="0.3">
      <c r="A22">
        <v>21</v>
      </c>
      <c r="B22">
        <v>1</v>
      </c>
      <c r="D22" t="s">
        <v>24</v>
      </c>
      <c r="E22" s="6" t="s">
        <v>135</v>
      </c>
      <c r="F22" s="18">
        <v>77807</v>
      </c>
      <c r="G22" s="6" t="s">
        <v>148</v>
      </c>
      <c r="H22" s="5">
        <v>2.0000000000000001E-4</v>
      </c>
      <c r="I22">
        <v>3</v>
      </c>
      <c r="J22" s="4"/>
      <c r="K22">
        <v>328</v>
      </c>
      <c r="L22">
        <f>+Table2[[#This Row],[Brine Water]]+Table2[[#This Row],[Freshwater]]</f>
        <v>328</v>
      </c>
      <c r="M22" t="s">
        <v>32</v>
      </c>
      <c r="N22" t="s">
        <v>34</v>
      </c>
      <c r="O22" t="s">
        <v>156</v>
      </c>
      <c r="P22" t="s">
        <v>37</v>
      </c>
      <c r="Q22" t="s">
        <v>41</v>
      </c>
      <c r="R22">
        <v>3</v>
      </c>
      <c r="S22" t="str">
        <f>+VLOOKUP(R22,Refs[],2,0)</f>
        <v>Schenker &amp; Pfister (2025)</v>
      </c>
      <c r="T22" s="4" t="str">
        <f>IF(ISBLANK(Table2[[#This Row],[Brine Water]]),"",+VLOOKUP(Table2[[#This Row],[Unit num]]&amp;"/"&amp;Table2[[#This Row],[Unit den]],Conversion!$A$2:$B$50,2,0)*Table2[[#This Row],[Brine Water]])</f>
        <v/>
      </c>
      <c r="U22" s="4">
        <f>IF(ISBLANK(Table2[[#This Row],[Freshwater]]),"",+VLOOKUP(Table2[[#This Row],[Unit num]]&amp;"/"&amp;Table2[[#This Row],[Unit den]],Conversion!$A$2:$B$50,2,0)*Table2[[#This Row],[Freshwater]])</f>
        <v>328</v>
      </c>
      <c r="V22" s="4">
        <f>+VLOOKUP(Table2[[#This Row],[Unit num]]&amp;"/"&amp;Table2[[#This Row],[Unit den]],Conversion!$A$2:$B$50,2,0)*Table2[[#This Row],[Total Water]]</f>
        <v>328</v>
      </c>
      <c r="W22" s="4">
        <f>IF(ISNUMBER(FIND("Brine",Table2[[#This Row],[Type]])),1/Table2[[#This Row],[Grade ore Li%]]/5.323,"")</f>
        <v>939.31993236896483</v>
      </c>
      <c r="X22" s="17" t="str">
        <f>+IF(ISBLANK(Table2[[#This Row],[Brine Water]]),"",Table2[[#This Row],[Brine_m3_tonLCE_GradeOnly]]/Table2[[#This Row],[BrineWater_m3_tonLCE]])</f>
        <v/>
      </c>
    </row>
    <row r="23" spans="1:24" x14ac:dyDescent="0.3">
      <c r="A23">
        <v>22</v>
      </c>
      <c r="B23">
        <v>1</v>
      </c>
      <c r="D23" t="s">
        <v>25</v>
      </c>
      <c r="E23" t="e">
        <v>#N/A</v>
      </c>
      <c r="F23" s="18">
        <v>38549</v>
      </c>
      <c r="G23" s="6" t="s">
        <v>148</v>
      </c>
      <c r="H23" s="5">
        <v>2.0000000000000001E-4</v>
      </c>
      <c r="I23">
        <v>3</v>
      </c>
      <c r="J23" s="4"/>
      <c r="K23">
        <v>212</v>
      </c>
      <c r="L23">
        <f>+Table2[[#This Row],[Brine Water]]+Table2[[#This Row],[Freshwater]]</f>
        <v>212</v>
      </c>
      <c r="M23" t="s">
        <v>32</v>
      </c>
      <c r="N23" t="s">
        <v>34</v>
      </c>
      <c r="O23" t="s">
        <v>156</v>
      </c>
      <c r="P23" t="s">
        <v>37</v>
      </c>
      <c r="Q23" t="s">
        <v>41</v>
      </c>
      <c r="R23">
        <v>3</v>
      </c>
      <c r="S23" t="str">
        <f>+VLOOKUP(R23,Refs[],2,0)</f>
        <v>Schenker &amp; Pfister (2025)</v>
      </c>
      <c r="T23" s="4" t="str">
        <f>IF(ISBLANK(Table2[[#This Row],[Brine Water]]),"",+VLOOKUP(Table2[[#This Row],[Unit num]]&amp;"/"&amp;Table2[[#This Row],[Unit den]],Conversion!$A$2:$B$50,2,0)*Table2[[#This Row],[Brine Water]])</f>
        <v/>
      </c>
      <c r="U23" s="4">
        <f>IF(ISBLANK(Table2[[#This Row],[Freshwater]]),"",+VLOOKUP(Table2[[#This Row],[Unit num]]&amp;"/"&amp;Table2[[#This Row],[Unit den]],Conversion!$A$2:$B$50,2,0)*Table2[[#This Row],[Freshwater]])</f>
        <v>212</v>
      </c>
      <c r="V23" s="4">
        <f>+VLOOKUP(Table2[[#This Row],[Unit num]]&amp;"/"&amp;Table2[[#This Row],[Unit den]],Conversion!$A$2:$B$50,2,0)*Table2[[#This Row],[Total Water]]</f>
        <v>212</v>
      </c>
      <c r="W23" s="4">
        <f>IF(ISNUMBER(FIND("Brine",Table2[[#This Row],[Type]])),1/Table2[[#This Row],[Grade ore Li%]]/5.323,"")</f>
        <v>939.31993236896483</v>
      </c>
      <c r="X23" s="17" t="str">
        <f>+IF(ISBLANK(Table2[[#This Row],[Brine Water]]),"",Table2[[#This Row],[Brine_m3_tonLCE_GradeOnly]]/Table2[[#This Row],[BrineWater_m3_tonLCE]])</f>
        <v/>
      </c>
    </row>
    <row r="24" spans="1:24" x14ac:dyDescent="0.3">
      <c r="A24">
        <v>23</v>
      </c>
      <c r="B24">
        <v>1</v>
      </c>
      <c r="D24" t="s">
        <v>26</v>
      </c>
      <c r="E24" s="6" t="s">
        <v>138</v>
      </c>
      <c r="F24" s="6">
        <v>88897</v>
      </c>
      <c r="G24" s="6" t="s">
        <v>148</v>
      </c>
      <c r="H24" s="5">
        <v>2.0000000000000001E-4</v>
      </c>
      <c r="I24">
        <v>3</v>
      </c>
      <c r="J24" s="4"/>
      <c r="K24">
        <v>212</v>
      </c>
      <c r="L24">
        <f>+Table2[[#This Row],[Brine Water]]+Table2[[#This Row],[Freshwater]]</f>
        <v>212</v>
      </c>
      <c r="M24" t="s">
        <v>32</v>
      </c>
      <c r="N24" t="s">
        <v>34</v>
      </c>
      <c r="O24" t="s">
        <v>156</v>
      </c>
      <c r="P24" t="s">
        <v>37</v>
      </c>
      <c r="Q24" t="s">
        <v>41</v>
      </c>
      <c r="R24">
        <v>3</v>
      </c>
      <c r="S24" t="str">
        <f>+VLOOKUP(R24,Refs[],2,0)</f>
        <v>Schenker &amp; Pfister (2025)</v>
      </c>
      <c r="T24" s="4" t="str">
        <f>IF(ISBLANK(Table2[[#This Row],[Brine Water]]),"",+VLOOKUP(Table2[[#This Row],[Unit num]]&amp;"/"&amp;Table2[[#This Row],[Unit den]],Conversion!$A$2:$B$50,2,0)*Table2[[#This Row],[Brine Water]])</f>
        <v/>
      </c>
      <c r="U24" s="4">
        <f>IF(ISBLANK(Table2[[#This Row],[Freshwater]]),"",+VLOOKUP(Table2[[#This Row],[Unit num]]&amp;"/"&amp;Table2[[#This Row],[Unit den]],Conversion!$A$2:$B$50,2,0)*Table2[[#This Row],[Freshwater]])</f>
        <v>212</v>
      </c>
      <c r="V24" s="4">
        <f>+VLOOKUP(Table2[[#This Row],[Unit num]]&amp;"/"&amp;Table2[[#This Row],[Unit den]],Conversion!$A$2:$B$50,2,0)*Table2[[#This Row],[Total Water]]</f>
        <v>212</v>
      </c>
      <c r="W24" s="4">
        <f>IF(ISNUMBER(FIND("Brine",Table2[[#This Row],[Type]])),1/Table2[[#This Row],[Grade ore Li%]]/5.323,"")</f>
        <v>939.31993236896483</v>
      </c>
      <c r="X24" s="17" t="str">
        <f>+IF(ISBLANK(Table2[[#This Row],[Brine Water]]),"",Table2[[#This Row],[Brine_m3_tonLCE_GradeOnly]]/Table2[[#This Row],[BrineWater_m3_tonLCE]])</f>
        <v/>
      </c>
    </row>
    <row r="25" spans="1:24" x14ac:dyDescent="0.3">
      <c r="A25">
        <v>26</v>
      </c>
      <c r="B25">
        <v>1</v>
      </c>
      <c r="D25" t="s">
        <v>4</v>
      </c>
      <c r="E25" t="s">
        <v>126</v>
      </c>
      <c r="F25">
        <v>37384</v>
      </c>
      <c r="G25" t="s">
        <v>148</v>
      </c>
      <c r="H25" s="5">
        <v>1.9E-3</v>
      </c>
      <c r="I25">
        <v>4</v>
      </c>
      <c r="J25" s="4"/>
      <c r="K25" s="4">
        <v>39131</v>
      </c>
      <c r="L25" s="4">
        <f>+Table2[[#This Row],[Brine Water]]+Table2[[#This Row],[Freshwater]]</f>
        <v>39131</v>
      </c>
      <c r="M25" t="s">
        <v>52</v>
      </c>
      <c r="N25" t="s">
        <v>53</v>
      </c>
      <c r="O25" t="s">
        <v>155</v>
      </c>
      <c r="P25" t="s">
        <v>54</v>
      </c>
      <c r="Q25" t="s">
        <v>64</v>
      </c>
      <c r="R25">
        <v>4</v>
      </c>
      <c r="S25" t="str">
        <f>+VLOOKUP(R25,Refs[],2,0)</f>
        <v>Lagos et al. (2024)</v>
      </c>
      <c r="T25" s="4" t="str">
        <f>IF(ISBLANK(Table2[[#This Row],[Brine Water]]),"",+VLOOKUP(Table2[[#This Row],[Unit num]]&amp;"/"&amp;Table2[[#This Row],[Unit den]],Conversion!$A$2:$B$50,2,0)*Table2[[#This Row],[Brine Water]])</f>
        <v/>
      </c>
      <c r="U25" s="4">
        <f>IF(ISBLANK(Table2[[#This Row],[Freshwater]]),"",+VLOOKUP(Table2[[#This Row],[Unit num]]&amp;"/"&amp;Table2[[#This Row],[Unit den]],Conversion!$A$2:$B$50,2,0)*Table2[[#This Row],[Freshwater]])</f>
        <v>39.131</v>
      </c>
      <c r="V25" s="4">
        <f>+VLOOKUP(Table2[[#This Row],[Unit num]]&amp;"/"&amp;Table2[[#This Row],[Unit den]],Conversion!$A$2:$B$50,2,0)*Table2[[#This Row],[Total Water]]</f>
        <v>39.131</v>
      </c>
      <c r="W25" s="4">
        <f>IF(ISNUMBER(FIND("Brine",Table2[[#This Row],[Type]])),1/Table2[[#This Row],[Grade ore Li%]]/5.323,"")</f>
        <v>98.875782354627859</v>
      </c>
      <c r="X25" s="17" t="str">
        <f>+IF(ISBLANK(Table2[[#This Row],[Brine Water]]),"",Table2[[#This Row],[Brine_m3_tonLCE_GradeOnly]]/Table2[[#This Row],[BrineWater_m3_tonLCE]])</f>
        <v/>
      </c>
    </row>
    <row r="26" spans="1:24" x14ac:dyDescent="0.3">
      <c r="A26">
        <v>27</v>
      </c>
      <c r="B26">
        <v>1</v>
      </c>
      <c r="D26" t="s">
        <v>57</v>
      </c>
      <c r="E26" s="6" t="s">
        <v>138</v>
      </c>
      <c r="F26" s="18">
        <v>85124</v>
      </c>
      <c r="G26" s="6" t="s">
        <v>148</v>
      </c>
      <c r="H26" s="10">
        <f>+(0.006%+0.025%)/2</f>
        <v>1.55E-4</v>
      </c>
      <c r="I26">
        <v>5</v>
      </c>
      <c r="J26" s="4"/>
      <c r="K26">
        <v>617.1</v>
      </c>
      <c r="L26">
        <f>+Table2[[#This Row],[Brine Water]]+Table2[[#This Row],[Freshwater]]</f>
        <v>617.1</v>
      </c>
      <c r="M26" t="s">
        <v>65</v>
      </c>
      <c r="N26" t="s">
        <v>53</v>
      </c>
      <c r="O26" t="s">
        <v>156</v>
      </c>
      <c r="P26" t="s">
        <v>71</v>
      </c>
      <c r="R26">
        <v>5</v>
      </c>
      <c r="S26" t="str">
        <f>+VLOOKUP(R26,Refs[],2,0)</f>
        <v>Feng et al. (2025)</v>
      </c>
      <c r="T26" s="4" t="str">
        <f>IF(ISBLANK(Table2[[#This Row],[Brine Water]]),"",+VLOOKUP(Table2[[#This Row],[Unit num]]&amp;"/"&amp;Table2[[#This Row],[Unit den]],Conversion!$A$2:$B$50,2,0)*Table2[[#This Row],[Brine Water]])</f>
        <v/>
      </c>
      <c r="U26" s="4">
        <f>IF(ISBLANK(Table2[[#This Row],[Freshwater]]),"",+VLOOKUP(Table2[[#This Row],[Unit num]]&amp;"/"&amp;Table2[[#This Row],[Unit den]],Conversion!$A$2:$B$50,2,0)*Table2[[#This Row],[Freshwater]])</f>
        <v>617.1</v>
      </c>
      <c r="V26" s="4">
        <f>+VLOOKUP(Table2[[#This Row],[Unit num]]&amp;"/"&amp;Table2[[#This Row],[Unit den]],Conversion!$A$2:$B$50,2,0)*Table2[[#This Row],[Total Water]]</f>
        <v>617.1</v>
      </c>
      <c r="W26" s="4">
        <f>IF(ISNUMBER(FIND("Brine",Table2[[#This Row],[Type]])),1/Table2[[#This Row],[Grade ore Li%]]/5.323,"")</f>
        <v>1212.0257191857611</v>
      </c>
      <c r="X26" s="17" t="str">
        <f>+IF(ISBLANK(Table2[[#This Row],[Brine Water]]),"",Table2[[#This Row],[Brine_m3_tonLCE_GradeOnly]]/Table2[[#This Row],[BrineWater_m3_tonLCE]])</f>
        <v/>
      </c>
    </row>
    <row r="27" spans="1:24" x14ac:dyDescent="0.3">
      <c r="A27">
        <v>28</v>
      </c>
      <c r="B27">
        <v>1</v>
      </c>
      <c r="D27" t="s">
        <v>12</v>
      </c>
      <c r="E27" t="s">
        <v>12</v>
      </c>
      <c r="F27">
        <v>37600</v>
      </c>
      <c r="G27" t="s">
        <v>148</v>
      </c>
      <c r="H27" s="10">
        <f>+(0.006%+0.16%)/2</f>
        <v>8.3000000000000001E-4</v>
      </c>
      <c r="I27">
        <v>5</v>
      </c>
      <c r="J27" s="4"/>
      <c r="K27">
        <v>496.53</v>
      </c>
      <c r="L27">
        <f>+Table2[[#This Row],[Brine Water]]+Table2[[#This Row],[Freshwater]]</f>
        <v>496.53</v>
      </c>
      <c r="M27" t="s">
        <v>65</v>
      </c>
      <c r="N27" t="s">
        <v>53</v>
      </c>
      <c r="O27" t="s">
        <v>155</v>
      </c>
      <c r="P27" t="s">
        <v>66</v>
      </c>
      <c r="R27">
        <v>5</v>
      </c>
      <c r="S27" t="str">
        <f>+VLOOKUP(R27,Refs[],2,0)</f>
        <v>Feng et al. (2025)</v>
      </c>
      <c r="T27" s="4" t="str">
        <f>IF(ISBLANK(Table2[[#This Row],[Brine Water]]),"",+VLOOKUP(Table2[[#This Row],[Unit num]]&amp;"/"&amp;Table2[[#This Row],[Unit den]],Conversion!$A$2:$B$50,2,0)*Table2[[#This Row],[Brine Water]])</f>
        <v/>
      </c>
      <c r="U27" s="4">
        <f>IF(ISBLANK(Table2[[#This Row],[Freshwater]]),"",+VLOOKUP(Table2[[#This Row],[Unit num]]&amp;"/"&amp;Table2[[#This Row],[Unit den]],Conversion!$A$2:$B$50,2,0)*Table2[[#This Row],[Freshwater]])</f>
        <v>496.53</v>
      </c>
      <c r="V27" s="4">
        <f>+VLOOKUP(Table2[[#This Row],[Unit num]]&amp;"/"&amp;Table2[[#This Row],[Unit den]],Conversion!$A$2:$B$50,2,0)*Table2[[#This Row],[Total Water]]</f>
        <v>496.53</v>
      </c>
      <c r="W27" s="4">
        <f>IF(ISNUMBER(FIND("Brine",Table2[[#This Row],[Type]])),1/Table2[[#This Row],[Grade ore Li%]]/5.323,"")</f>
        <v>226.34215237806379</v>
      </c>
      <c r="X27" s="17" t="str">
        <f>+IF(ISBLANK(Table2[[#This Row],[Brine Water]]),"",Table2[[#This Row],[Brine_m3_tonLCE_GradeOnly]]/Table2[[#This Row],[BrineWater_m3_tonLCE]])</f>
        <v/>
      </c>
    </row>
    <row r="28" spans="1:24" x14ac:dyDescent="0.3">
      <c r="A28">
        <v>29</v>
      </c>
      <c r="B28">
        <v>1</v>
      </c>
      <c r="D28" t="s">
        <v>11</v>
      </c>
      <c r="E28" s="8" t="s">
        <v>130</v>
      </c>
      <c r="F28" s="18">
        <v>37059</v>
      </c>
      <c r="G28" s="8" t="s">
        <v>148</v>
      </c>
      <c r="H28" s="10">
        <f>+(0.006%+0.16%)/2</f>
        <v>8.3000000000000001E-4</v>
      </c>
      <c r="I28">
        <v>5</v>
      </c>
      <c r="J28" s="4"/>
      <c r="K28">
        <v>271.06</v>
      </c>
      <c r="L28">
        <f>+Table2[[#This Row],[Brine Water]]+Table2[[#This Row],[Freshwater]]</f>
        <v>271.06</v>
      </c>
      <c r="M28" t="s">
        <v>65</v>
      </c>
      <c r="N28" t="s">
        <v>53</v>
      </c>
      <c r="O28" t="s">
        <v>155</v>
      </c>
      <c r="P28" t="s">
        <v>66</v>
      </c>
      <c r="R28">
        <v>5</v>
      </c>
      <c r="S28" t="str">
        <f>+VLOOKUP(R28,Refs[],2,0)</f>
        <v>Feng et al. (2025)</v>
      </c>
      <c r="T28" s="4" t="str">
        <f>IF(ISBLANK(Table2[[#This Row],[Brine Water]]),"",+VLOOKUP(Table2[[#This Row],[Unit num]]&amp;"/"&amp;Table2[[#This Row],[Unit den]],Conversion!$A$2:$B$50,2,0)*Table2[[#This Row],[Brine Water]])</f>
        <v/>
      </c>
      <c r="U28" s="4">
        <f>IF(ISBLANK(Table2[[#This Row],[Freshwater]]),"",+VLOOKUP(Table2[[#This Row],[Unit num]]&amp;"/"&amp;Table2[[#This Row],[Unit den]],Conversion!$A$2:$B$50,2,0)*Table2[[#This Row],[Freshwater]])</f>
        <v>271.06</v>
      </c>
      <c r="V28" s="4">
        <f>+VLOOKUP(Table2[[#This Row],[Unit num]]&amp;"/"&amp;Table2[[#This Row],[Unit den]],Conversion!$A$2:$B$50,2,0)*Table2[[#This Row],[Total Water]]</f>
        <v>271.06</v>
      </c>
      <c r="W28" s="4">
        <f>IF(ISNUMBER(FIND("Brine",Table2[[#This Row],[Type]])),1/Table2[[#This Row],[Grade ore Li%]]/5.323,"")</f>
        <v>226.34215237806379</v>
      </c>
      <c r="X28" s="17" t="str">
        <f>+IF(ISBLANK(Table2[[#This Row],[Brine Water]]),"",Table2[[#This Row],[Brine_m3_tonLCE_GradeOnly]]/Table2[[#This Row],[BrineWater_m3_tonLCE]])</f>
        <v/>
      </c>
    </row>
    <row r="29" spans="1:24" x14ac:dyDescent="0.3">
      <c r="A29">
        <v>30</v>
      </c>
      <c r="B29">
        <v>1</v>
      </c>
      <c r="D29" t="s">
        <v>9</v>
      </c>
      <c r="E29" t="e">
        <v>#N/A</v>
      </c>
      <c r="F29">
        <v>37624</v>
      </c>
      <c r="G29" t="s">
        <v>148</v>
      </c>
      <c r="H29" s="10">
        <f>+(0.006%+0.16%)/2</f>
        <v>8.3000000000000001E-4</v>
      </c>
      <c r="I29">
        <v>5</v>
      </c>
      <c r="J29" s="4"/>
      <c r="K29">
        <v>134.33000000000001</v>
      </c>
      <c r="L29">
        <f>+Table2[[#This Row],[Brine Water]]+Table2[[#This Row],[Freshwater]]</f>
        <v>134.33000000000001</v>
      </c>
      <c r="M29" t="s">
        <v>65</v>
      </c>
      <c r="N29" t="s">
        <v>53</v>
      </c>
      <c r="O29" t="s">
        <v>155</v>
      </c>
      <c r="P29" t="s">
        <v>66</v>
      </c>
      <c r="R29">
        <v>5</v>
      </c>
      <c r="S29" t="str">
        <f>+VLOOKUP(R29,Refs[],2,0)</f>
        <v>Feng et al. (2025)</v>
      </c>
      <c r="T29" s="4" t="str">
        <f>IF(ISBLANK(Table2[[#This Row],[Brine Water]]),"",+VLOOKUP(Table2[[#This Row],[Unit num]]&amp;"/"&amp;Table2[[#This Row],[Unit den]],Conversion!$A$2:$B$50,2,0)*Table2[[#This Row],[Brine Water]])</f>
        <v/>
      </c>
      <c r="U29" s="4">
        <f>IF(ISBLANK(Table2[[#This Row],[Freshwater]]),"",+VLOOKUP(Table2[[#This Row],[Unit num]]&amp;"/"&amp;Table2[[#This Row],[Unit den]],Conversion!$A$2:$B$50,2,0)*Table2[[#This Row],[Freshwater]])</f>
        <v>134.33000000000001</v>
      </c>
      <c r="V29" s="4">
        <f>+VLOOKUP(Table2[[#This Row],[Unit num]]&amp;"/"&amp;Table2[[#This Row],[Unit den]],Conversion!$A$2:$B$50,2,0)*Table2[[#This Row],[Total Water]]</f>
        <v>134.33000000000001</v>
      </c>
      <c r="W29" s="4">
        <f>IF(ISNUMBER(FIND("Brine",Table2[[#This Row],[Type]])),1/Table2[[#This Row],[Grade ore Li%]]/5.323,"")</f>
        <v>226.34215237806379</v>
      </c>
      <c r="X29" s="17" t="str">
        <f>+IF(ISBLANK(Table2[[#This Row],[Brine Water]]),"",Table2[[#This Row],[Brine_m3_tonLCE_GradeOnly]]/Table2[[#This Row],[BrineWater_m3_tonLCE]])</f>
        <v/>
      </c>
    </row>
    <row r="30" spans="1:24" x14ac:dyDescent="0.3">
      <c r="A30">
        <v>31</v>
      </c>
      <c r="B30">
        <v>1</v>
      </c>
      <c r="D30" t="s">
        <v>58</v>
      </c>
      <c r="E30" s="6" t="s">
        <v>138</v>
      </c>
      <c r="F30" s="6" t="e">
        <v>#N/A</v>
      </c>
      <c r="G30" s="6" t="s">
        <v>148</v>
      </c>
      <c r="H30" s="5">
        <v>2.4000000000000001E-4</v>
      </c>
      <c r="I30">
        <v>5</v>
      </c>
      <c r="J30" s="4"/>
      <c r="K30">
        <v>113.15</v>
      </c>
      <c r="L30">
        <f>+Table2[[#This Row],[Brine Water]]+Table2[[#This Row],[Freshwater]]</f>
        <v>113.15</v>
      </c>
      <c r="M30" t="s">
        <v>65</v>
      </c>
      <c r="N30" t="s">
        <v>53</v>
      </c>
      <c r="O30" t="s">
        <v>156</v>
      </c>
      <c r="P30" t="s">
        <v>68</v>
      </c>
      <c r="R30">
        <v>5</v>
      </c>
      <c r="S30" t="str">
        <f>+VLOOKUP(R30,Refs[],2,0)</f>
        <v>Feng et al. (2025)</v>
      </c>
      <c r="T30" s="4" t="str">
        <f>IF(ISBLANK(Table2[[#This Row],[Brine Water]]),"",+VLOOKUP(Table2[[#This Row],[Unit num]]&amp;"/"&amp;Table2[[#This Row],[Unit den]],Conversion!$A$2:$B$50,2,0)*Table2[[#This Row],[Brine Water]])</f>
        <v/>
      </c>
      <c r="U30" s="4">
        <f>IF(ISBLANK(Table2[[#This Row],[Freshwater]]),"",+VLOOKUP(Table2[[#This Row],[Unit num]]&amp;"/"&amp;Table2[[#This Row],[Unit den]],Conversion!$A$2:$B$50,2,0)*Table2[[#This Row],[Freshwater]])</f>
        <v>113.15</v>
      </c>
      <c r="V30" s="4">
        <f>+VLOOKUP(Table2[[#This Row],[Unit num]]&amp;"/"&amp;Table2[[#This Row],[Unit den]],Conversion!$A$2:$B$50,2,0)*Table2[[#This Row],[Total Water]]</f>
        <v>113.15</v>
      </c>
      <c r="W30" s="4">
        <f>IF(ISNUMBER(FIND("Brine",Table2[[#This Row],[Type]])),1/Table2[[#This Row],[Grade ore Li%]]/5.323,"")</f>
        <v>782.76661030747073</v>
      </c>
      <c r="X30" s="17" t="str">
        <f>+IF(ISBLANK(Table2[[#This Row],[Brine Water]]),"",Table2[[#This Row],[Brine_m3_tonLCE_GradeOnly]]/Table2[[#This Row],[BrineWater_m3_tonLCE]])</f>
        <v/>
      </c>
    </row>
    <row r="31" spans="1:24" x14ac:dyDescent="0.3">
      <c r="A31">
        <v>32</v>
      </c>
      <c r="B31">
        <v>1</v>
      </c>
      <c r="D31" t="s">
        <v>59</v>
      </c>
      <c r="E31" s="7" t="s">
        <v>139</v>
      </c>
      <c r="F31" s="6">
        <v>90185</v>
      </c>
      <c r="G31" s="7" t="s">
        <v>148</v>
      </c>
      <c r="H31" s="5">
        <v>5.9999999999999995E-4</v>
      </c>
      <c r="I31">
        <v>5</v>
      </c>
      <c r="J31" s="4"/>
      <c r="K31">
        <v>112.12</v>
      </c>
      <c r="L31">
        <f>+Table2[[#This Row],[Brine Water]]+Table2[[#This Row],[Freshwater]]</f>
        <v>112.12</v>
      </c>
      <c r="M31" t="s">
        <v>65</v>
      </c>
      <c r="N31" t="s">
        <v>53</v>
      </c>
      <c r="O31" t="s">
        <v>156</v>
      </c>
      <c r="P31" t="s">
        <v>70</v>
      </c>
      <c r="R31">
        <v>5</v>
      </c>
      <c r="S31" t="str">
        <f>+VLOOKUP(R31,Refs[],2,0)</f>
        <v>Feng et al. (2025)</v>
      </c>
      <c r="T31" s="4" t="str">
        <f>IF(ISBLANK(Table2[[#This Row],[Brine Water]]),"",+VLOOKUP(Table2[[#This Row],[Unit num]]&amp;"/"&amp;Table2[[#This Row],[Unit den]],Conversion!$A$2:$B$50,2,0)*Table2[[#This Row],[Brine Water]])</f>
        <v/>
      </c>
      <c r="U31" s="4">
        <f>IF(ISBLANK(Table2[[#This Row],[Freshwater]]),"",+VLOOKUP(Table2[[#This Row],[Unit num]]&amp;"/"&amp;Table2[[#This Row],[Unit den]],Conversion!$A$2:$B$50,2,0)*Table2[[#This Row],[Freshwater]])</f>
        <v>112.12</v>
      </c>
      <c r="V31" s="4">
        <f>+VLOOKUP(Table2[[#This Row],[Unit num]]&amp;"/"&amp;Table2[[#This Row],[Unit den]],Conversion!$A$2:$B$50,2,0)*Table2[[#This Row],[Total Water]]</f>
        <v>112.12</v>
      </c>
      <c r="W31" s="4">
        <f>IF(ISNUMBER(FIND("Brine",Table2[[#This Row],[Type]])),1/Table2[[#This Row],[Grade ore Li%]]/5.323,"")</f>
        <v>313.10664412298826</v>
      </c>
      <c r="X31" s="17" t="str">
        <f>+IF(ISBLANK(Table2[[#This Row],[Brine Water]]),"",Table2[[#This Row],[Brine_m3_tonLCE_GradeOnly]]/Table2[[#This Row],[BrineWater_m3_tonLCE]])</f>
        <v/>
      </c>
    </row>
    <row r="32" spans="1:24" x14ac:dyDescent="0.3">
      <c r="A32">
        <v>33</v>
      </c>
      <c r="B32">
        <v>1</v>
      </c>
      <c r="D32" t="s">
        <v>60</v>
      </c>
      <c r="E32" s="6" t="s">
        <v>138</v>
      </c>
      <c r="F32" s="18">
        <v>88897</v>
      </c>
      <c r="G32" s="6" t="s">
        <v>148</v>
      </c>
      <c r="H32" s="5">
        <v>1.4999999999999999E-4</v>
      </c>
      <c r="I32">
        <v>5</v>
      </c>
      <c r="J32" s="4"/>
      <c r="K32">
        <v>93.63</v>
      </c>
      <c r="L32">
        <f>+Table2[[#This Row],[Brine Water]]+Table2[[#This Row],[Freshwater]]</f>
        <v>93.63</v>
      </c>
      <c r="M32" t="s">
        <v>65</v>
      </c>
      <c r="N32" t="s">
        <v>53</v>
      </c>
      <c r="O32" t="s">
        <v>156</v>
      </c>
      <c r="P32" t="s">
        <v>69</v>
      </c>
      <c r="R32">
        <v>5</v>
      </c>
      <c r="S32" t="str">
        <f>+VLOOKUP(R32,Refs[],2,0)</f>
        <v>Feng et al. (2025)</v>
      </c>
      <c r="T32" s="4" t="str">
        <f>IF(ISBLANK(Table2[[#This Row],[Brine Water]]),"",+VLOOKUP(Table2[[#This Row],[Unit num]]&amp;"/"&amp;Table2[[#This Row],[Unit den]],Conversion!$A$2:$B$50,2,0)*Table2[[#This Row],[Brine Water]])</f>
        <v/>
      </c>
      <c r="U32" s="4">
        <f>IF(ISBLANK(Table2[[#This Row],[Freshwater]]),"",+VLOOKUP(Table2[[#This Row],[Unit num]]&amp;"/"&amp;Table2[[#This Row],[Unit den]],Conversion!$A$2:$B$50,2,0)*Table2[[#This Row],[Freshwater]])</f>
        <v>93.63</v>
      </c>
      <c r="V32" s="4">
        <f>+VLOOKUP(Table2[[#This Row],[Unit num]]&amp;"/"&amp;Table2[[#This Row],[Unit den]],Conversion!$A$2:$B$50,2,0)*Table2[[#This Row],[Total Water]]</f>
        <v>93.63</v>
      </c>
      <c r="W32" s="4">
        <f>IF(ISNUMBER(FIND("Brine",Table2[[#This Row],[Type]])),1/Table2[[#This Row],[Grade ore Li%]]/5.323,"")</f>
        <v>1252.426576491953</v>
      </c>
      <c r="X32" s="17" t="str">
        <f>+IF(ISBLANK(Table2[[#This Row],[Brine Water]]),"",Table2[[#This Row],[Brine_m3_tonLCE_GradeOnly]]/Table2[[#This Row],[BrineWater_m3_tonLCE]])</f>
        <v/>
      </c>
    </row>
    <row r="33" spans="1:24" x14ac:dyDescent="0.3">
      <c r="A33">
        <v>34</v>
      </c>
      <c r="B33">
        <v>1</v>
      </c>
      <c r="D33" t="s">
        <v>61</v>
      </c>
      <c r="E33" t="e">
        <v>#N/A</v>
      </c>
      <c r="F33" s="6" t="e">
        <v>#N/A</v>
      </c>
      <c r="G33" t="s">
        <v>148</v>
      </c>
      <c r="H33" s="10">
        <f>+(0.006%+0.025%)/2</f>
        <v>1.55E-4</v>
      </c>
      <c r="I33">
        <v>5</v>
      </c>
      <c r="J33" s="4"/>
      <c r="K33">
        <v>68.37</v>
      </c>
      <c r="L33">
        <f>+Table2[[#This Row],[Brine Water]]+Table2[[#This Row],[Freshwater]]</f>
        <v>68.37</v>
      </c>
      <c r="M33" t="s">
        <v>65</v>
      </c>
      <c r="N33" t="s">
        <v>53</v>
      </c>
      <c r="O33" t="s">
        <v>156</v>
      </c>
      <c r="P33" t="s">
        <v>71</v>
      </c>
      <c r="R33">
        <v>5</v>
      </c>
      <c r="S33" t="str">
        <f>+VLOOKUP(R33,Refs[],2,0)</f>
        <v>Feng et al. (2025)</v>
      </c>
      <c r="T33" s="4" t="str">
        <f>IF(ISBLANK(Table2[[#This Row],[Brine Water]]),"",+VLOOKUP(Table2[[#This Row],[Unit num]]&amp;"/"&amp;Table2[[#This Row],[Unit den]],Conversion!$A$2:$B$50,2,0)*Table2[[#This Row],[Brine Water]])</f>
        <v/>
      </c>
      <c r="U33" s="4">
        <f>IF(ISBLANK(Table2[[#This Row],[Freshwater]]),"",+VLOOKUP(Table2[[#This Row],[Unit num]]&amp;"/"&amp;Table2[[#This Row],[Unit den]],Conversion!$A$2:$B$50,2,0)*Table2[[#This Row],[Freshwater]])</f>
        <v>68.37</v>
      </c>
      <c r="V33" s="4">
        <f>+VLOOKUP(Table2[[#This Row],[Unit num]]&amp;"/"&amp;Table2[[#This Row],[Unit den]],Conversion!$A$2:$B$50,2,0)*Table2[[#This Row],[Total Water]]</f>
        <v>68.37</v>
      </c>
      <c r="W33" s="4">
        <f>IF(ISNUMBER(FIND("Brine",Table2[[#This Row],[Type]])),1/Table2[[#This Row],[Grade ore Li%]]/5.323,"")</f>
        <v>1212.0257191857611</v>
      </c>
      <c r="X33" s="17" t="str">
        <f>+IF(ISBLANK(Table2[[#This Row],[Brine Water]]),"",Table2[[#This Row],[Brine_m3_tonLCE_GradeOnly]]/Table2[[#This Row],[BrineWater_m3_tonLCE]])</f>
        <v/>
      </c>
    </row>
    <row r="34" spans="1:24" x14ac:dyDescent="0.3">
      <c r="A34">
        <v>35</v>
      </c>
      <c r="B34">
        <v>1</v>
      </c>
      <c r="D34" t="s">
        <v>4</v>
      </c>
      <c r="E34" t="s">
        <v>126</v>
      </c>
      <c r="F34">
        <v>37384</v>
      </c>
      <c r="G34" t="s">
        <v>148</v>
      </c>
      <c r="H34" s="10">
        <f>+(0.006%+0.16%)/2</f>
        <v>8.3000000000000001E-4</v>
      </c>
      <c r="I34">
        <v>5</v>
      </c>
      <c r="J34" s="4"/>
      <c r="K34">
        <v>58.04</v>
      </c>
      <c r="L34">
        <f>+Table2[[#This Row],[Brine Water]]+Table2[[#This Row],[Freshwater]]</f>
        <v>58.04</v>
      </c>
      <c r="M34" t="s">
        <v>65</v>
      </c>
      <c r="N34" t="s">
        <v>53</v>
      </c>
      <c r="O34" t="s">
        <v>155</v>
      </c>
      <c r="P34" t="s">
        <v>66</v>
      </c>
      <c r="R34">
        <v>5</v>
      </c>
      <c r="S34" t="str">
        <f>+VLOOKUP(R34,Refs[],2,0)</f>
        <v>Feng et al. (2025)</v>
      </c>
      <c r="T34" s="4" t="str">
        <f>IF(ISBLANK(Table2[[#This Row],[Brine Water]]),"",+VLOOKUP(Table2[[#This Row],[Unit num]]&amp;"/"&amp;Table2[[#This Row],[Unit den]],Conversion!$A$2:$B$50,2,0)*Table2[[#This Row],[Brine Water]])</f>
        <v/>
      </c>
      <c r="U34" s="4">
        <f>IF(ISBLANK(Table2[[#This Row],[Freshwater]]),"",+VLOOKUP(Table2[[#This Row],[Unit num]]&amp;"/"&amp;Table2[[#This Row],[Unit den]],Conversion!$A$2:$B$50,2,0)*Table2[[#This Row],[Freshwater]])</f>
        <v>58.04</v>
      </c>
      <c r="V34" s="4">
        <f>+VLOOKUP(Table2[[#This Row],[Unit num]]&amp;"/"&amp;Table2[[#This Row],[Unit den]],Conversion!$A$2:$B$50,2,0)*Table2[[#This Row],[Total Water]]</f>
        <v>58.04</v>
      </c>
      <c r="W34" s="4">
        <f>IF(ISNUMBER(FIND("Brine",Table2[[#This Row],[Type]])),1/Table2[[#This Row],[Grade ore Li%]]/5.323,"")</f>
        <v>226.34215237806379</v>
      </c>
      <c r="X34" s="17" t="str">
        <f>+IF(ISBLANK(Table2[[#This Row],[Brine Water]]),"",Table2[[#This Row],[Brine_m3_tonLCE_GradeOnly]]/Table2[[#This Row],[BrineWater_m3_tonLCE]])</f>
        <v/>
      </c>
    </row>
    <row r="35" spans="1:24" x14ac:dyDescent="0.3">
      <c r="A35">
        <v>36</v>
      </c>
      <c r="B35">
        <v>1</v>
      </c>
      <c r="D35" t="s">
        <v>63</v>
      </c>
      <c r="E35" t="e">
        <v>#N/A</v>
      </c>
      <c r="F35" s="18">
        <v>38542</v>
      </c>
      <c r="G35" t="s">
        <v>148</v>
      </c>
      <c r="H35" s="5">
        <v>2.1000000000000001E-4</v>
      </c>
      <c r="I35">
        <v>5</v>
      </c>
      <c r="J35" s="4"/>
      <c r="K35">
        <v>54.93</v>
      </c>
      <c r="L35">
        <f>+Table2[[#This Row],[Brine Water]]+Table2[[#This Row],[Freshwater]]</f>
        <v>54.93</v>
      </c>
      <c r="M35" t="s">
        <v>65</v>
      </c>
      <c r="N35" t="s">
        <v>53</v>
      </c>
      <c r="O35" t="s">
        <v>155</v>
      </c>
      <c r="P35" t="s">
        <v>72</v>
      </c>
      <c r="R35">
        <v>5</v>
      </c>
      <c r="S35" t="str">
        <f>+VLOOKUP(R35,Refs[],2,0)</f>
        <v>Feng et al. (2025)</v>
      </c>
      <c r="T35" s="4" t="str">
        <f>IF(ISBLANK(Table2[[#This Row],[Brine Water]]),"",+VLOOKUP(Table2[[#This Row],[Unit num]]&amp;"/"&amp;Table2[[#This Row],[Unit den]],Conversion!$A$2:$B$50,2,0)*Table2[[#This Row],[Brine Water]])</f>
        <v/>
      </c>
      <c r="U35" s="4">
        <f>IF(ISBLANK(Table2[[#This Row],[Freshwater]]),"",+VLOOKUP(Table2[[#This Row],[Unit num]]&amp;"/"&amp;Table2[[#This Row],[Unit den]],Conversion!$A$2:$B$50,2,0)*Table2[[#This Row],[Freshwater]])</f>
        <v>54.93</v>
      </c>
      <c r="V35" s="4">
        <f>+VLOOKUP(Table2[[#This Row],[Unit num]]&amp;"/"&amp;Table2[[#This Row],[Unit den]],Conversion!$A$2:$B$50,2,0)*Table2[[#This Row],[Total Water]]</f>
        <v>54.93</v>
      </c>
      <c r="W35" s="4">
        <f>IF(ISNUMBER(FIND("Brine",Table2[[#This Row],[Type]])),1/Table2[[#This Row],[Grade ore Li%]]/5.323,"")</f>
        <v>894.59041177996642</v>
      </c>
      <c r="X35" s="17" t="str">
        <f>+IF(ISBLANK(Table2[[#This Row],[Brine Water]]),"",Table2[[#This Row],[Brine_m3_tonLCE_GradeOnly]]/Table2[[#This Row],[BrineWater_m3_tonLCE]])</f>
        <v/>
      </c>
    </row>
    <row r="36" spans="1:24" x14ac:dyDescent="0.3">
      <c r="A36">
        <v>37</v>
      </c>
      <c r="B36">
        <v>1</v>
      </c>
      <c r="D36" t="s">
        <v>62</v>
      </c>
      <c r="E36" t="e">
        <v>#N/A</v>
      </c>
      <c r="F36" s="18">
        <v>38543</v>
      </c>
      <c r="G36" t="s">
        <v>148</v>
      </c>
      <c r="H36" s="5">
        <v>8.4999999999999995E-4</v>
      </c>
      <c r="I36">
        <v>5</v>
      </c>
      <c r="J36" s="4"/>
      <c r="K36">
        <v>34.1</v>
      </c>
      <c r="L36">
        <f>+Table2[[#This Row],[Brine Water]]+Table2[[#This Row],[Freshwater]]</f>
        <v>34.1</v>
      </c>
      <c r="M36" t="s">
        <v>65</v>
      </c>
      <c r="N36" t="s">
        <v>53</v>
      </c>
      <c r="O36" t="s">
        <v>156</v>
      </c>
      <c r="P36" t="s">
        <v>67</v>
      </c>
      <c r="R36">
        <v>5</v>
      </c>
      <c r="S36" t="str">
        <f>+VLOOKUP(R36,Refs[],2,0)</f>
        <v>Feng et al. (2025)</v>
      </c>
      <c r="T36" s="4" t="str">
        <f>IF(ISBLANK(Table2[[#This Row],[Brine Water]]),"",+VLOOKUP(Table2[[#This Row],[Unit num]]&amp;"/"&amp;Table2[[#This Row],[Unit den]],Conversion!$A$2:$B$50,2,0)*Table2[[#This Row],[Brine Water]])</f>
        <v/>
      </c>
      <c r="U36" s="4">
        <f>IF(ISBLANK(Table2[[#This Row],[Freshwater]]),"",+VLOOKUP(Table2[[#This Row],[Unit num]]&amp;"/"&amp;Table2[[#This Row],[Unit den]],Conversion!$A$2:$B$50,2,0)*Table2[[#This Row],[Freshwater]])</f>
        <v>34.1</v>
      </c>
      <c r="V36" s="4">
        <f>+VLOOKUP(Table2[[#This Row],[Unit num]]&amp;"/"&amp;Table2[[#This Row],[Unit den]],Conversion!$A$2:$B$50,2,0)*Table2[[#This Row],[Total Water]]</f>
        <v>34.1</v>
      </c>
      <c r="W36" s="4">
        <f>IF(ISNUMBER(FIND("Brine",Table2[[#This Row],[Type]])),1/Table2[[#This Row],[Grade ore Li%]]/5.323,"")</f>
        <v>221.01645467505054</v>
      </c>
      <c r="X36" s="17" t="str">
        <f>+IF(ISBLANK(Table2[[#This Row],[Brine Water]]),"",Table2[[#This Row],[Brine_m3_tonLCE_GradeOnly]]/Table2[[#This Row],[BrineWater_m3_tonLCE]])</f>
        <v/>
      </c>
    </row>
    <row r="37" spans="1:24" x14ac:dyDescent="0.3">
      <c r="A37">
        <v>51</v>
      </c>
      <c r="B37">
        <v>1</v>
      </c>
      <c r="D37" t="s">
        <v>11</v>
      </c>
      <c r="E37" s="8" t="s">
        <v>130</v>
      </c>
      <c r="F37" s="18">
        <v>37059</v>
      </c>
      <c r="G37" s="8" t="s">
        <v>148</v>
      </c>
      <c r="H37" s="5">
        <f>630/1000000</f>
        <v>6.3000000000000003E-4</v>
      </c>
      <c r="I37" t="s">
        <v>146</v>
      </c>
      <c r="J37" s="4">
        <v>537.4</v>
      </c>
      <c r="K37" s="4">
        <v>51</v>
      </c>
      <c r="L37" s="4">
        <f>+Table2[[#This Row],[Brine Water]]+Table2[[#This Row],[Freshwater]]</f>
        <v>588.4</v>
      </c>
      <c r="M37" t="s">
        <v>65</v>
      </c>
      <c r="N37" t="s">
        <v>106</v>
      </c>
      <c r="O37" t="s">
        <v>155</v>
      </c>
      <c r="R37">
        <v>10</v>
      </c>
      <c r="S37" t="str">
        <f>+VLOOKUP(R37,Refs[],2,0)</f>
        <v>Paz et al. (2025)</v>
      </c>
      <c r="T37" s="4">
        <f>IF(ISBLANK(Table2[[#This Row],[Brine Water]]),"",+VLOOKUP(Table2[[#This Row],[Unit num]]&amp;"/"&amp;Table2[[#This Row],[Unit den]],Conversion!$A$2:$B$50,2,0)*Table2[[#This Row],[Brine Water]])</f>
        <v>537.4</v>
      </c>
      <c r="U37" s="4">
        <f>IF(ISBLANK(Table2[[#This Row],[Freshwater]]),"",+VLOOKUP(Table2[[#This Row],[Unit num]]&amp;"/"&amp;Table2[[#This Row],[Unit den]],Conversion!$A$2:$B$50,2,0)*Table2[[#This Row],[Freshwater]])</f>
        <v>51</v>
      </c>
      <c r="V37" s="4">
        <f>+VLOOKUP(Table2[[#This Row],[Unit num]]&amp;"/"&amp;Table2[[#This Row],[Unit den]],Conversion!$A$2:$B$50,2,0)*Table2[[#This Row],[Total Water]]</f>
        <v>588.4</v>
      </c>
      <c r="W37" s="4">
        <f>IF(ISNUMBER(FIND("Brine",Table2[[#This Row],[Type]])),1/Table2[[#This Row],[Grade ore Li%]]/5.323,"")</f>
        <v>298.19680392665549</v>
      </c>
      <c r="X37" s="17">
        <f>+IF(ISBLANK(Table2[[#This Row],[Brine Water]]),"",Table2[[#This Row],[Brine_m3_tonLCE_GradeOnly]]/Table2[[#This Row],[BrineWater_m3_tonLCE]])</f>
        <v>0.55488798646567827</v>
      </c>
    </row>
    <row r="38" spans="1:24" x14ac:dyDescent="0.3">
      <c r="A38">
        <v>52</v>
      </c>
      <c r="B38">
        <v>1</v>
      </c>
      <c r="D38" t="s">
        <v>14</v>
      </c>
      <c r="E38" s="6" t="s">
        <v>227</v>
      </c>
      <c r="F38" s="6">
        <v>37611</v>
      </c>
      <c r="G38" s="8" t="s">
        <v>148</v>
      </c>
      <c r="H38" s="5">
        <f>523/1000000</f>
        <v>5.2300000000000003E-4</v>
      </c>
      <c r="I38" t="s">
        <v>146</v>
      </c>
      <c r="J38" s="4">
        <v>319.60000000000002</v>
      </c>
      <c r="K38" s="4">
        <v>135.5</v>
      </c>
      <c r="L38" s="4">
        <f>+Table2[[#This Row],[Brine Water]]+Table2[[#This Row],[Freshwater]]</f>
        <v>455.1</v>
      </c>
      <c r="M38" t="s">
        <v>65</v>
      </c>
      <c r="N38" t="s">
        <v>106</v>
      </c>
      <c r="O38" t="s">
        <v>155</v>
      </c>
      <c r="R38">
        <v>10</v>
      </c>
      <c r="S38" t="str">
        <f>+VLOOKUP(R38,Refs[],2,0)</f>
        <v>Paz et al. (2025)</v>
      </c>
      <c r="T38" s="4">
        <f>IF(ISBLANK(Table2[[#This Row],[Brine Water]]),"",+VLOOKUP(Table2[[#This Row],[Unit num]]&amp;"/"&amp;Table2[[#This Row],[Unit den]],Conversion!$A$2:$B$50,2,0)*Table2[[#This Row],[Brine Water]])</f>
        <v>319.60000000000002</v>
      </c>
      <c r="U38" s="4">
        <f>IF(ISBLANK(Table2[[#This Row],[Freshwater]]),"",+VLOOKUP(Table2[[#This Row],[Unit num]]&amp;"/"&amp;Table2[[#This Row],[Unit den]],Conversion!$A$2:$B$50,2,0)*Table2[[#This Row],[Freshwater]])</f>
        <v>135.5</v>
      </c>
      <c r="V38" s="4">
        <f>+VLOOKUP(Table2[[#This Row],[Unit num]]&amp;"/"&amp;Table2[[#This Row],[Unit den]],Conversion!$A$2:$B$50,2,0)*Table2[[#This Row],[Total Water]]</f>
        <v>455.1</v>
      </c>
      <c r="W38" s="4">
        <f>IF(ISNUMBER(FIND("Brine",Table2[[#This Row],[Type]])),1/Table2[[#This Row],[Grade ore Li%]]/5.323,"")</f>
        <v>359.20456304740526</v>
      </c>
      <c r="X38" s="17">
        <f>+IF(ISBLANK(Table2[[#This Row],[Brine Water]]),"",Table2[[#This Row],[Brine_m3_tonLCE_GradeOnly]]/Table2[[#This Row],[BrineWater_m3_tonLCE]])</f>
        <v>1.1239191584712305</v>
      </c>
    </row>
    <row r="39" spans="1:24" x14ac:dyDescent="0.3">
      <c r="A39">
        <v>56</v>
      </c>
      <c r="B39">
        <v>1</v>
      </c>
      <c r="D39" t="s">
        <v>158</v>
      </c>
      <c r="F39" s="6" t="e">
        <v>#N/A</v>
      </c>
      <c r="G39" t="s">
        <v>148</v>
      </c>
      <c r="H39" s="11">
        <v>1.0480000000000001E-3</v>
      </c>
      <c r="I39">
        <v>13</v>
      </c>
      <c r="J39" s="4">
        <v>162.79</v>
      </c>
      <c r="K39" s="4">
        <f>154.1-116.28</f>
        <v>37.819999999999993</v>
      </c>
      <c r="L39" s="4">
        <f>+Table2[[#This Row],[Brine Water]]+Table2[[#This Row],[Freshwater]]</f>
        <v>200.60999999999999</v>
      </c>
      <c r="M39" t="s">
        <v>32</v>
      </c>
      <c r="N39" t="s">
        <v>34</v>
      </c>
      <c r="O39" t="s">
        <v>155</v>
      </c>
      <c r="P39" t="s">
        <v>245</v>
      </c>
      <c r="R39">
        <v>13</v>
      </c>
      <c r="S39" t="str">
        <f>+VLOOKUP(R39,Refs[],2,0)</f>
        <v>Mas-Fons et al. (2024)</v>
      </c>
      <c r="T39" s="4">
        <f>IF(ISBLANK(Table2[[#This Row],[Brine Water]]),"",+VLOOKUP(Table2[[#This Row],[Unit num]]&amp;"/"&amp;Table2[[#This Row],[Unit den]],Conversion!$A$2:$B$50,2,0)*Table2[[#This Row],[Brine Water]])</f>
        <v>162.79</v>
      </c>
      <c r="U39" s="4">
        <f>IF(ISBLANK(Table2[[#This Row],[Freshwater]]),"",+VLOOKUP(Table2[[#This Row],[Unit num]]&amp;"/"&amp;Table2[[#This Row],[Unit den]],Conversion!$A$2:$B$50,2,0)*Table2[[#This Row],[Freshwater]])</f>
        <v>37.819999999999993</v>
      </c>
      <c r="V39" s="4">
        <f>+VLOOKUP(Table2[[#This Row],[Unit num]]&amp;"/"&amp;Table2[[#This Row],[Unit den]],Conversion!$A$2:$B$50,2,0)*Table2[[#This Row],[Total Water]]</f>
        <v>200.60999999999999</v>
      </c>
      <c r="W39" s="4">
        <f>IF(ISNUMBER(FIND("Brine",Table2[[#This Row],[Type]])),1/Table2[[#This Row],[Grade ore Li%]]/5.323,"")</f>
        <v>179.25952907804671</v>
      </c>
      <c r="X39" s="17">
        <f>+IF(ISBLANK(Table2[[#This Row],[Brine Water]]),"",Table2[[#This Row],[Brine_m3_tonLCE_GradeOnly]]/Table2[[#This Row],[BrineWater_m3_tonLCE]])</f>
        <v>1.1011703979239924</v>
      </c>
    </row>
    <row r="40" spans="1:24" x14ac:dyDescent="0.3">
      <c r="A40">
        <v>57</v>
      </c>
      <c r="B40">
        <v>1</v>
      </c>
      <c r="D40" t="s">
        <v>160</v>
      </c>
      <c r="F40" s="6" t="e">
        <v>#N/A</v>
      </c>
      <c r="G40" t="s">
        <v>148</v>
      </c>
      <c r="H40" s="11">
        <v>3.4699999999999998E-4</v>
      </c>
      <c r="I40">
        <v>13</v>
      </c>
      <c r="J40" s="4">
        <v>543.70000000000005</v>
      </c>
      <c r="K40" s="4">
        <f>447.22-388.35</f>
        <v>58.870000000000005</v>
      </c>
      <c r="L40" s="4">
        <f>+Table2[[#This Row],[Brine Water]]+Table2[[#This Row],[Freshwater]]</f>
        <v>602.57000000000005</v>
      </c>
      <c r="M40" t="s">
        <v>32</v>
      </c>
      <c r="N40" t="s">
        <v>34</v>
      </c>
      <c r="O40" t="s">
        <v>155</v>
      </c>
      <c r="P40" t="s">
        <v>245</v>
      </c>
      <c r="R40">
        <v>13</v>
      </c>
      <c r="S40" t="str">
        <f>+VLOOKUP(R40,Refs[],2,0)</f>
        <v>Mas-Fons et al. (2024)</v>
      </c>
      <c r="T40" s="4">
        <f>IF(ISBLANK(Table2[[#This Row],[Brine Water]]),"",+VLOOKUP(Table2[[#This Row],[Unit num]]&amp;"/"&amp;Table2[[#This Row],[Unit den]],Conversion!$A$2:$B$50,2,0)*Table2[[#This Row],[Brine Water]])</f>
        <v>543.70000000000005</v>
      </c>
      <c r="U40" s="4">
        <f>IF(ISBLANK(Table2[[#This Row],[Freshwater]]),"",+VLOOKUP(Table2[[#This Row],[Unit num]]&amp;"/"&amp;Table2[[#This Row],[Unit den]],Conversion!$A$2:$B$50,2,0)*Table2[[#This Row],[Freshwater]])</f>
        <v>58.870000000000005</v>
      </c>
      <c r="V40" s="4">
        <f>+VLOOKUP(Table2[[#This Row],[Unit num]]&amp;"/"&amp;Table2[[#This Row],[Unit den]],Conversion!$A$2:$B$50,2,0)*Table2[[#This Row],[Total Water]]</f>
        <v>602.57000000000005</v>
      </c>
      <c r="W40" s="4">
        <f>IF(ISNUMBER(FIND("Brine",Table2[[#This Row],[Type]])),1/Table2[[#This Row],[Grade ore Li%]]/5.323,"")</f>
        <v>541.39477369969154</v>
      </c>
      <c r="X40" s="17">
        <f>+IF(ISBLANK(Table2[[#This Row],[Brine Water]]),"",Table2[[#This Row],[Brine_m3_tonLCE_GradeOnly]]/Table2[[#This Row],[BrineWater_m3_tonLCE]])</f>
        <v>0.99576011348113203</v>
      </c>
    </row>
    <row r="41" spans="1:24" x14ac:dyDescent="0.3">
      <c r="A41">
        <v>58</v>
      </c>
      <c r="B41">
        <v>1</v>
      </c>
      <c r="D41" t="s">
        <v>159</v>
      </c>
      <c r="F41" s="6" t="e">
        <v>#N/A</v>
      </c>
      <c r="G41" t="s">
        <v>148</v>
      </c>
      <c r="H41" s="11">
        <v>3.8000000000000002E-5</v>
      </c>
      <c r="I41">
        <v>13</v>
      </c>
      <c r="J41" s="4">
        <v>4666.75</v>
      </c>
      <c r="K41" s="4">
        <f>3713.25-333.33</f>
        <v>3379.92</v>
      </c>
      <c r="L41" s="4">
        <f>+Table2[[#This Row],[Brine Water]]+Table2[[#This Row],[Freshwater]]</f>
        <v>8046.67</v>
      </c>
      <c r="M41" t="s">
        <v>32</v>
      </c>
      <c r="N41" t="s">
        <v>34</v>
      </c>
      <c r="O41" t="s">
        <v>155</v>
      </c>
      <c r="P41" t="s">
        <v>245</v>
      </c>
      <c r="R41">
        <v>13</v>
      </c>
      <c r="S41" t="str">
        <f>+VLOOKUP(R41,Refs[],2,0)</f>
        <v>Mas-Fons et al. (2024)</v>
      </c>
      <c r="T41" s="4">
        <f>IF(ISBLANK(Table2[[#This Row],[Brine Water]]),"",+VLOOKUP(Table2[[#This Row],[Unit num]]&amp;"/"&amp;Table2[[#This Row],[Unit den]],Conversion!$A$2:$B$50,2,0)*Table2[[#This Row],[Brine Water]])</f>
        <v>4666.75</v>
      </c>
      <c r="U41" s="4">
        <f>IF(ISBLANK(Table2[[#This Row],[Freshwater]]),"",+VLOOKUP(Table2[[#This Row],[Unit num]]&amp;"/"&amp;Table2[[#This Row],[Unit den]],Conversion!$A$2:$B$50,2,0)*Table2[[#This Row],[Freshwater]])</f>
        <v>3379.92</v>
      </c>
      <c r="V41" s="4">
        <f>+VLOOKUP(Table2[[#This Row],[Unit num]]&amp;"/"&amp;Table2[[#This Row],[Unit den]],Conversion!$A$2:$B$50,2,0)*Table2[[#This Row],[Total Water]]</f>
        <v>8046.67</v>
      </c>
      <c r="W41" s="4">
        <f>IF(ISNUMBER(FIND("Brine",Table2[[#This Row],[Type]])),1/Table2[[#This Row],[Grade ore Li%]]/5.323,"")</f>
        <v>4943.7891177313932</v>
      </c>
      <c r="X41" s="17">
        <f>+IF(ISBLANK(Table2[[#This Row],[Brine Water]]),"",Table2[[#This Row],[Brine_m3_tonLCE_GradeOnly]]/Table2[[#This Row],[BrineWater_m3_tonLCE]])</f>
        <v>1.0593644651484209</v>
      </c>
    </row>
    <row r="42" spans="1:24" x14ac:dyDescent="0.3">
      <c r="A42">
        <v>62</v>
      </c>
      <c r="B42">
        <v>1</v>
      </c>
      <c r="D42" t="s">
        <v>59</v>
      </c>
      <c r="E42" t="s">
        <v>139</v>
      </c>
      <c r="F42" s="6">
        <v>90185</v>
      </c>
      <c r="G42" t="s">
        <v>148</v>
      </c>
      <c r="H42" s="5">
        <v>6.9999999999999999E-4</v>
      </c>
      <c r="I42">
        <v>14</v>
      </c>
      <c r="J42" s="4">
        <v>2288</v>
      </c>
      <c r="K42" s="4">
        <f>1438</f>
        <v>1438</v>
      </c>
      <c r="L42" s="4">
        <f>+Table2[[#This Row],[Brine Water]]+Table2[[#This Row],[Freshwater]]</f>
        <v>3726</v>
      </c>
      <c r="M42" t="s">
        <v>65</v>
      </c>
      <c r="N42" t="s">
        <v>175</v>
      </c>
      <c r="O42" t="s">
        <v>155</v>
      </c>
      <c r="P42" t="s">
        <v>176</v>
      </c>
      <c r="R42">
        <v>14</v>
      </c>
      <c r="S42" t="str">
        <f>+VLOOKUP(R42,Refs[],2,0)</f>
        <v>Sun et al. (2024)</v>
      </c>
      <c r="T42" s="4">
        <f>IF(ISBLANK(Table2[[#This Row],[Brine Water]]),"",+VLOOKUP(Table2[[#This Row],[Unit num]]&amp;"/"&amp;Table2[[#This Row],[Unit den]],Conversion!$A$2:$B$50,2,0)*Table2[[#This Row],[Brine Water]])</f>
        <v>429.83280105203829</v>
      </c>
      <c r="U42" s="4">
        <f>IF(ISBLANK(Table2[[#This Row],[Freshwater]]),"",+VLOOKUP(Table2[[#This Row],[Unit num]]&amp;"/"&amp;Table2[[#This Row],[Unit den]],Conversion!$A$2:$B$50,2,0)*Table2[[#This Row],[Freshwater]])</f>
        <v>270.14841254931429</v>
      </c>
      <c r="V42" s="4">
        <f>+VLOOKUP(Table2[[#This Row],[Unit num]]&amp;"/"&amp;Table2[[#This Row],[Unit den]],Conversion!$A$2:$B$50,2,0)*Table2[[#This Row],[Total Water]]</f>
        <v>699.98121360135258</v>
      </c>
      <c r="W42" s="4">
        <f>IF(ISNUMBER(FIND("Brine",Table2[[#This Row],[Type]])),1/Table2[[#This Row],[Grade ore Li%]]/5.323,"")</f>
        <v>268.37712353398996</v>
      </c>
      <c r="X42" s="17">
        <f>+IF(ISBLANK(Table2[[#This Row],[Brine Water]]),"",Table2[[#This Row],[Brine_m3_tonLCE_GradeOnly]]/Table2[[#This Row],[BrineWater_m3_tonLCE]])</f>
        <v>0.62437562437562444</v>
      </c>
    </row>
    <row r="43" spans="1:24" x14ac:dyDescent="0.3">
      <c r="A43">
        <v>63</v>
      </c>
      <c r="B43">
        <v>1</v>
      </c>
      <c r="D43" t="s">
        <v>11</v>
      </c>
      <c r="E43" s="8" t="s">
        <v>130</v>
      </c>
      <c r="F43" s="6">
        <v>37059</v>
      </c>
      <c r="G43" t="s">
        <v>148</v>
      </c>
      <c r="H43" s="5">
        <v>5.0000000000000001E-4</v>
      </c>
      <c r="I43">
        <v>14</v>
      </c>
      <c r="J43" s="4">
        <v>1705</v>
      </c>
      <c r="K43" s="4">
        <f>1013</f>
        <v>1013</v>
      </c>
      <c r="L43" s="4">
        <f>+Table2[[#This Row],[Brine Water]]+Table2[[#This Row],[Freshwater]]</f>
        <v>2718</v>
      </c>
      <c r="M43" t="s">
        <v>65</v>
      </c>
      <c r="N43" t="s">
        <v>175</v>
      </c>
      <c r="O43" t="s">
        <v>155</v>
      </c>
      <c r="P43" t="s">
        <v>176</v>
      </c>
      <c r="R43">
        <v>14</v>
      </c>
      <c r="S43" t="str">
        <f>+VLOOKUP(R43,Refs[],2,0)</f>
        <v>Sun et al. (2024)</v>
      </c>
      <c r="T43" s="4">
        <f>IF(ISBLANK(Table2[[#This Row],[Brine Water]]),"",+VLOOKUP(Table2[[#This Row],[Unit num]]&amp;"/"&amp;Table2[[#This Row],[Unit den]],Conversion!$A$2:$B$50,2,0)*Table2[[#This Row],[Brine Water]])</f>
        <v>320.30809693781697</v>
      </c>
      <c r="U43" s="4">
        <f>IF(ISBLANK(Table2[[#This Row],[Freshwater]]),"",+VLOOKUP(Table2[[#This Row],[Unit num]]&amp;"/"&amp;Table2[[#This Row],[Unit den]],Conversion!$A$2:$B$50,2,0)*Table2[[#This Row],[Freshwater]])</f>
        <v>190.30621829795226</v>
      </c>
      <c r="V43" s="4">
        <f>+VLOOKUP(Table2[[#This Row],[Unit num]]&amp;"/"&amp;Table2[[#This Row],[Unit den]],Conversion!$A$2:$B$50,2,0)*Table2[[#This Row],[Total Water]]</f>
        <v>510.61431523576925</v>
      </c>
      <c r="W43" s="4">
        <f>IF(ISNUMBER(FIND("Brine",Table2[[#This Row],[Type]])),1/Table2[[#This Row],[Grade ore Li%]]/5.323,"")</f>
        <v>375.7279729475859</v>
      </c>
      <c r="X43" s="17">
        <f>+IF(ISBLANK(Table2[[#This Row],[Brine Water]]),"",Table2[[#This Row],[Brine_m3_tonLCE_GradeOnly]]/Table2[[#This Row],[BrineWater_m3_tonLCE]])</f>
        <v>1.1730205278592376</v>
      </c>
    </row>
    <row r="44" spans="1:24" x14ac:dyDescent="0.3">
      <c r="A44">
        <v>64</v>
      </c>
      <c r="B44">
        <v>1</v>
      </c>
      <c r="D44" t="s">
        <v>12</v>
      </c>
      <c r="E44" t="s">
        <v>12</v>
      </c>
      <c r="F44">
        <v>37600</v>
      </c>
      <c r="G44" t="s">
        <v>148</v>
      </c>
      <c r="H44" s="5">
        <v>2.9999999999999997E-4</v>
      </c>
      <c r="I44">
        <v>14</v>
      </c>
      <c r="J44" s="4">
        <v>4672</v>
      </c>
      <c r="K44" s="4">
        <f>1883</f>
        <v>1883</v>
      </c>
      <c r="L44" s="4">
        <f>+Table2[[#This Row],[Brine Water]]+Table2[[#This Row],[Freshwater]]</f>
        <v>6555</v>
      </c>
      <c r="M44" t="s">
        <v>65</v>
      </c>
      <c r="N44" t="s">
        <v>175</v>
      </c>
      <c r="O44" t="s">
        <v>155</v>
      </c>
      <c r="P44" t="s">
        <v>176</v>
      </c>
      <c r="Q44" t="s">
        <v>187</v>
      </c>
      <c r="R44">
        <v>14</v>
      </c>
      <c r="S44" t="str">
        <f>+VLOOKUP(R44,Refs[],2,0)</f>
        <v>Sun et al. (2024)</v>
      </c>
      <c r="T44" s="4">
        <f>IF(ISBLANK(Table2[[#This Row],[Brine Water]]),"",+VLOOKUP(Table2[[#This Row],[Unit num]]&amp;"/"&amp;Table2[[#This Row],[Unit den]],Conversion!$A$2:$B$50,2,0)*Table2[[#This Row],[Brine Water]])</f>
        <v>877.70054480556075</v>
      </c>
      <c r="U44" s="4">
        <f>IF(ISBLANK(Table2[[#This Row],[Freshwater]]),"",+VLOOKUP(Table2[[#This Row],[Unit num]]&amp;"/"&amp;Table2[[#This Row],[Unit den]],Conversion!$A$2:$B$50,2,0)*Table2[[#This Row],[Freshwater]])</f>
        <v>353.74788653015213</v>
      </c>
      <c r="V44" s="4">
        <f>+VLOOKUP(Table2[[#This Row],[Unit num]]&amp;"/"&amp;Table2[[#This Row],[Unit den]],Conversion!$A$2:$B$50,2,0)*Table2[[#This Row],[Total Water]]</f>
        <v>1231.4484313357129</v>
      </c>
      <c r="W44" s="4">
        <f>IF(ISNUMBER(FIND("Brine",Table2[[#This Row],[Type]])),1/Table2[[#This Row],[Grade ore Li%]]/5.323,"")</f>
        <v>626.21328824597651</v>
      </c>
      <c r="X44" s="17">
        <f>+IF(ISBLANK(Table2[[#This Row],[Brine Water]]),"",Table2[[#This Row],[Brine_m3_tonLCE_GradeOnly]]/Table2[[#This Row],[BrineWater_m3_tonLCE]])</f>
        <v>0.71347031963470309</v>
      </c>
    </row>
    <row r="45" spans="1:24" x14ac:dyDescent="0.3">
      <c r="A45">
        <v>71</v>
      </c>
      <c r="B45">
        <v>1</v>
      </c>
      <c r="D45" t="s">
        <v>4</v>
      </c>
      <c r="E45" t="s">
        <v>126</v>
      </c>
      <c r="F45">
        <v>37384</v>
      </c>
      <c r="G45" t="s">
        <v>148</v>
      </c>
      <c r="H45" s="5">
        <v>1.5E-3</v>
      </c>
      <c r="I45">
        <v>14</v>
      </c>
      <c r="J45" s="4">
        <v>913</v>
      </c>
      <c r="K45" s="4">
        <f>456</f>
        <v>456</v>
      </c>
      <c r="L45" s="4">
        <f>+Table2[[#This Row],[Brine Water]]+Table2[[#This Row],[Freshwater]]</f>
        <v>1369</v>
      </c>
      <c r="M45" t="s">
        <v>65</v>
      </c>
      <c r="N45" t="s">
        <v>175</v>
      </c>
      <c r="O45" t="s">
        <v>155</v>
      </c>
      <c r="P45" t="s">
        <v>176</v>
      </c>
      <c r="Q45" t="s">
        <v>188</v>
      </c>
      <c r="R45">
        <v>14</v>
      </c>
      <c r="S45" t="str">
        <f>+VLOOKUP(R45,Refs[],2,0)</f>
        <v>Sun et al. (2024)</v>
      </c>
      <c r="T45" s="4">
        <f>IF(ISBLANK(Table2[[#This Row],[Brine Water]]),"",+VLOOKUP(Table2[[#This Row],[Unit num]]&amp;"/"&amp;Table2[[#This Row],[Unit den]],Conversion!$A$2:$B$50,2,0)*Table2[[#This Row],[Brine Water]])</f>
        <v>171.51981965057297</v>
      </c>
      <c r="U45" s="4">
        <f>IF(ISBLANK(Table2[[#This Row],[Freshwater]]),"",+VLOOKUP(Table2[[#This Row],[Unit num]]&amp;"/"&amp;Table2[[#This Row],[Unit den]],Conversion!$A$2:$B$50,2,0)*Table2[[#This Row],[Freshwater]])</f>
        <v>85.665977832049592</v>
      </c>
      <c r="V45" s="4">
        <f>+VLOOKUP(Table2[[#This Row],[Unit num]]&amp;"/"&amp;Table2[[#This Row],[Unit den]],Conversion!$A$2:$B$50,2,0)*Table2[[#This Row],[Total Water]]</f>
        <v>257.18579748262255</v>
      </c>
      <c r="W45" s="4">
        <f>IF(ISNUMBER(FIND("Brine",Table2[[#This Row],[Type]])),1/Table2[[#This Row],[Grade ore Li%]]/5.323,"")</f>
        <v>125.24265764919529</v>
      </c>
      <c r="X45" s="17">
        <f>+IF(ISBLANK(Table2[[#This Row],[Brine Water]]),"",Table2[[#This Row],[Brine_m3_tonLCE_GradeOnly]]/Table2[[#This Row],[BrineWater_m3_tonLCE]])</f>
        <v>0.73019350127783855</v>
      </c>
    </row>
    <row r="46" spans="1:24" x14ac:dyDescent="0.3">
      <c r="A46">
        <v>72</v>
      </c>
      <c r="B46">
        <v>1</v>
      </c>
      <c r="D46" t="s">
        <v>57</v>
      </c>
      <c r="E46" s="6" t="s">
        <v>138</v>
      </c>
      <c r="F46" s="18">
        <v>85124</v>
      </c>
      <c r="G46" t="s">
        <v>148</v>
      </c>
      <c r="H46" s="5">
        <v>2.0000000000000001E-4</v>
      </c>
      <c r="I46">
        <v>14</v>
      </c>
      <c r="J46" s="4">
        <v>6145</v>
      </c>
      <c r="K46" s="4">
        <f>2537</f>
        <v>2537</v>
      </c>
      <c r="L46" s="4">
        <f>+Table2[[#This Row],[Brine Water]]+Table2[[#This Row],[Freshwater]]</f>
        <v>8682</v>
      </c>
      <c r="M46" t="s">
        <v>65</v>
      </c>
      <c r="N46" t="s">
        <v>175</v>
      </c>
      <c r="O46" t="s">
        <v>155</v>
      </c>
      <c r="P46" t="s">
        <v>176</v>
      </c>
      <c r="R46">
        <v>14</v>
      </c>
      <c r="S46" t="str">
        <f>+VLOOKUP(R46,Refs[],2,0)</f>
        <v>Sun et al. (2024)</v>
      </c>
      <c r="T46" s="4">
        <f>IF(ISBLANK(Table2[[#This Row],[Brine Water]]),"",+VLOOKUP(Table2[[#This Row],[Unit num]]&amp;"/"&amp;Table2[[#This Row],[Unit den]],Conversion!$A$2:$B$50,2,0)*Table2[[#This Row],[Brine Water]])</f>
        <v>1154.4241968814576</v>
      </c>
      <c r="U46" s="4">
        <f>IF(ISBLANK(Table2[[#This Row],[Freshwater]]),"",+VLOOKUP(Table2[[#This Row],[Unit num]]&amp;"/"&amp;Table2[[#This Row],[Unit den]],Conversion!$A$2:$B$50,2,0)*Table2[[#This Row],[Freshwater]])</f>
        <v>476.61093368401276</v>
      </c>
      <c r="V46" s="4">
        <f>+VLOOKUP(Table2[[#This Row],[Unit num]]&amp;"/"&amp;Table2[[#This Row],[Unit den]],Conversion!$A$2:$B$50,2,0)*Table2[[#This Row],[Total Water]]</f>
        <v>1631.0351305654706</v>
      </c>
      <c r="W46" s="4">
        <f>IF(ISNUMBER(FIND("Brine",Table2[[#This Row],[Type]])),1/Table2[[#This Row],[Grade ore Li%]]/5.323,"")</f>
        <v>939.31993236896483</v>
      </c>
      <c r="X46" s="17">
        <f>+IF(ISBLANK(Table2[[#This Row],[Brine Water]]),"",Table2[[#This Row],[Brine_m3_tonLCE_GradeOnly]]/Table2[[#This Row],[BrineWater_m3_tonLCE]])</f>
        <v>0.8136696501220505</v>
      </c>
    </row>
    <row r="47" spans="1:24" x14ac:dyDescent="0.3">
      <c r="A47">
        <v>73</v>
      </c>
      <c r="B47">
        <v>1</v>
      </c>
      <c r="D47" t="s">
        <v>180</v>
      </c>
      <c r="E47" s="6" t="s">
        <v>138</v>
      </c>
      <c r="F47" s="6" t="e">
        <v>#N/A</v>
      </c>
      <c r="G47" t="s">
        <v>148</v>
      </c>
      <c r="H47" s="5">
        <v>2.0000000000000001E-4</v>
      </c>
      <c r="I47">
        <v>14</v>
      </c>
      <c r="J47" s="4">
        <v>3780</v>
      </c>
      <c r="K47" s="4">
        <f>1487</f>
        <v>1487</v>
      </c>
      <c r="L47" s="4">
        <f>+Table2[[#This Row],[Brine Water]]+Table2[[#This Row],[Freshwater]]</f>
        <v>5267</v>
      </c>
      <c r="M47" t="s">
        <v>65</v>
      </c>
      <c r="N47" t="s">
        <v>175</v>
      </c>
      <c r="O47" t="s">
        <v>155</v>
      </c>
      <c r="P47" t="s">
        <v>176</v>
      </c>
      <c r="R47">
        <v>14</v>
      </c>
      <c r="S47" t="str">
        <f>+VLOOKUP(R47,Refs[],2,0)</f>
        <v>Sun et al. (2024)</v>
      </c>
      <c r="T47" s="4">
        <f>IF(ISBLANK(Table2[[#This Row],[Brine Water]]),"",+VLOOKUP(Table2[[#This Row],[Unit num]]&amp;"/"&amp;Table2[[#This Row],[Unit den]],Conversion!$A$2:$B$50,2,0)*Table2[[#This Row],[Brine Water]])</f>
        <v>710.12586887093744</v>
      </c>
      <c r="U47" s="4">
        <f>IF(ISBLANK(Table2[[#This Row],[Freshwater]]),"",+VLOOKUP(Table2[[#This Row],[Unit num]]&amp;"/"&amp;Table2[[#This Row],[Unit den]],Conversion!$A$2:$B$50,2,0)*Table2[[#This Row],[Freshwater]])</f>
        <v>279.35374788653013</v>
      </c>
      <c r="V47" s="4">
        <f>+VLOOKUP(Table2[[#This Row],[Unit num]]&amp;"/"&amp;Table2[[#This Row],[Unit den]],Conversion!$A$2:$B$50,2,0)*Table2[[#This Row],[Total Water]]</f>
        <v>989.47961675746751</v>
      </c>
      <c r="W47" s="4">
        <f>IF(ISNUMBER(FIND("Brine",Table2[[#This Row],[Type]])),1/Table2[[#This Row],[Grade ore Li%]]/5.323,"")</f>
        <v>939.31993236896483</v>
      </c>
      <c r="X47" s="17">
        <f>+IF(ISBLANK(Table2[[#This Row],[Brine Water]]),"",Table2[[#This Row],[Brine_m3_tonLCE_GradeOnly]]/Table2[[#This Row],[BrineWater_m3_tonLCE]])</f>
        <v>1.3227513227513228</v>
      </c>
    </row>
    <row r="48" spans="1:24" x14ac:dyDescent="0.3">
      <c r="A48">
        <v>74</v>
      </c>
      <c r="B48">
        <v>1</v>
      </c>
      <c r="D48" t="s">
        <v>181</v>
      </c>
      <c r="E48" s="6" t="s">
        <v>138</v>
      </c>
      <c r="F48" s="6" t="e">
        <v>#N/A</v>
      </c>
      <c r="G48" t="s">
        <v>148</v>
      </c>
      <c r="H48" s="5">
        <v>2.0000000000000001E-4</v>
      </c>
      <c r="I48">
        <v>14</v>
      </c>
      <c r="J48" s="4">
        <v>3780</v>
      </c>
      <c r="K48" s="4">
        <f>1487</f>
        <v>1487</v>
      </c>
      <c r="L48" s="4">
        <f>+Table2[[#This Row],[Brine Water]]+Table2[[#This Row],[Freshwater]]</f>
        <v>5267</v>
      </c>
      <c r="M48" t="s">
        <v>65</v>
      </c>
      <c r="N48" t="s">
        <v>175</v>
      </c>
      <c r="O48" t="s">
        <v>155</v>
      </c>
      <c r="P48" t="s">
        <v>176</v>
      </c>
      <c r="R48">
        <v>14</v>
      </c>
      <c r="S48" t="str">
        <f>+VLOOKUP(R48,Refs[],2,0)</f>
        <v>Sun et al. (2024)</v>
      </c>
      <c r="T48" s="4">
        <f>IF(ISBLANK(Table2[[#This Row],[Brine Water]]),"",+VLOOKUP(Table2[[#This Row],[Unit num]]&amp;"/"&amp;Table2[[#This Row],[Unit den]],Conversion!$A$2:$B$50,2,0)*Table2[[#This Row],[Brine Water]])</f>
        <v>710.12586887093744</v>
      </c>
      <c r="U48" s="4">
        <f>IF(ISBLANK(Table2[[#This Row],[Freshwater]]),"",+VLOOKUP(Table2[[#This Row],[Unit num]]&amp;"/"&amp;Table2[[#This Row],[Unit den]],Conversion!$A$2:$B$50,2,0)*Table2[[#This Row],[Freshwater]])</f>
        <v>279.35374788653013</v>
      </c>
      <c r="V48" s="4">
        <f>+VLOOKUP(Table2[[#This Row],[Unit num]]&amp;"/"&amp;Table2[[#This Row],[Unit den]],Conversion!$A$2:$B$50,2,0)*Table2[[#This Row],[Total Water]]</f>
        <v>989.47961675746751</v>
      </c>
      <c r="W48" s="4">
        <f>IF(ISNUMBER(FIND("Brine",Table2[[#This Row],[Type]])),1/Table2[[#This Row],[Grade ore Li%]]/5.323,"")</f>
        <v>939.31993236896483</v>
      </c>
      <c r="X48" s="17">
        <f>+IF(ISBLANK(Table2[[#This Row],[Brine Water]]),"",Table2[[#This Row],[Brine_m3_tonLCE_GradeOnly]]/Table2[[#This Row],[BrineWater_m3_tonLCE]])</f>
        <v>1.3227513227513228</v>
      </c>
    </row>
    <row r="49" spans="1:24" x14ac:dyDescent="0.3">
      <c r="A49">
        <v>75</v>
      </c>
      <c r="B49">
        <v>1</v>
      </c>
      <c r="D49" t="s">
        <v>182</v>
      </c>
      <c r="E49" s="6" t="s">
        <v>229</v>
      </c>
      <c r="F49" s="18">
        <v>38538</v>
      </c>
      <c r="G49" t="s">
        <v>148</v>
      </c>
      <c r="H49" s="5">
        <f>970/1000000</f>
        <v>9.7000000000000005E-4</v>
      </c>
      <c r="I49" t="s">
        <v>146</v>
      </c>
      <c r="J49" s="4">
        <v>2511</v>
      </c>
      <c r="K49" s="4">
        <f>923</f>
        <v>923</v>
      </c>
      <c r="L49" s="4">
        <f>+Table2[[#This Row],[Brine Water]]+Table2[[#This Row],[Freshwater]]</f>
        <v>3434</v>
      </c>
      <c r="M49" t="s">
        <v>65</v>
      </c>
      <c r="N49" t="s">
        <v>175</v>
      </c>
      <c r="O49" t="s">
        <v>155</v>
      </c>
      <c r="P49" t="s">
        <v>176</v>
      </c>
      <c r="R49">
        <v>14</v>
      </c>
      <c r="S49" t="str">
        <f>+VLOOKUP(R49,Refs[],2,0)</f>
        <v>Sun et al. (2024)</v>
      </c>
      <c r="T49" s="4">
        <f>IF(ISBLANK(Table2[[#This Row],[Brine Water]]),"",+VLOOKUP(Table2[[#This Row],[Unit num]]&amp;"/"&amp;Table2[[#This Row],[Unit den]],Conversion!$A$2:$B$50,2,0)*Table2[[#This Row],[Brine Water]])</f>
        <v>471.72647003569415</v>
      </c>
      <c r="U49" s="4">
        <f>IF(ISBLANK(Table2[[#This Row],[Freshwater]]),"",+VLOOKUP(Table2[[#This Row],[Unit num]]&amp;"/"&amp;Table2[[#This Row],[Unit den]],Conversion!$A$2:$B$50,2,0)*Table2[[#This Row],[Freshwater]])</f>
        <v>173.39845951531089</v>
      </c>
      <c r="V49" s="4">
        <f>+VLOOKUP(Table2[[#This Row],[Unit num]]&amp;"/"&amp;Table2[[#This Row],[Unit den]],Conversion!$A$2:$B$50,2,0)*Table2[[#This Row],[Total Water]]</f>
        <v>645.12492955100504</v>
      </c>
      <c r="W49" s="4">
        <f>IF(ISNUMBER(FIND("Brine",Table2[[#This Row],[Type]])),1/Table2[[#This Row],[Grade ore Li%]]/5.323,"")</f>
        <v>193.67421285958034</v>
      </c>
      <c r="X49" s="17">
        <f>+IF(ISBLANK(Table2[[#This Row],[Brine Water]]),"",Table2[[#This Row],[Brine_m3_tonLCE_GradeOnly]]/Table2[[#This Row],[BrineWater_m3_tonLCE]])</f>
        <v>0.41056464956254329</v>
      </c>
    </row>
    <row r="50" spans="1:24" hidden="1" x14ac:dyDescent="0.3">
      <c r="A50">
        <v>80</v>
      </c>
      <c r="B50">
        <v>0</v>
      </c>
      <c r="C50" t="s">
        <v>204</v>
      </c>
      <c r="D50" t="s">
        <v>196</v>
      </c>
      <c r="F50" s="6" t="e">
        <v>#N/A</v>
      </c>
      <c r="G50" t="s">
        <v>148</v>
      </c>
      <c r="H50" s="5"/>
      <c r="J50" s="4"/>
      <c r="K50" s="4">
        <v>363.5</v>
      </c>
      <c r="L50" s="4">
        <f>+Table2[[#This Row],[Brine Water]]+Table2[[#This Row],[Freshwater]]</f>
        <v>363.5</v>
      </c>
      <c r="M50" t="s">
        <v>200</v>
      </c>
      <c r="N50" t="s">
        <v>53</v>
      </c>
      <c r="O50" t="s">
        <v>155</v>
      </c>
      <c r="P50" t="s">
        <v>176</v>
      </c>
      <c r="R50">
        <v>15</v>
      </c>
      <c r="S50" t="str">
        <f>+VLOOKUP(R50,Refs[],2,0)</f>
        <v>Orquera et al. (2026)</v>
      </c>
      <c r="T50" s="4" t="str">
        <f>IF(ISBLANK(Table2[[#This Row],[Brine Water]]),"",+VLOOKUP(Table2[[#This Row],[Unit num]]&amp;"/"&amp;Table2[[#This Row],[Unit den]],Conversion!$A$2:$B$50,2,0)*Table2[[#This Row],[Brine Water]])</f>
        <v/>
      </c>
      <c r="U50" s="4">
        <f>IF(ISBLANK(Table2[[#This Row],[Freshwater]]),"",+VLOOKUP(Table2[[#This Row],[Unit num]]&amp;"/"&amp;Table2[[#This Row],[Unit den]],Conversion!$A$2:$B$50,2,0)*Table2[[#This Row],[Freshwater]])</f>
        <v>363.5</v>
      </c>
      <c r="V50" s="4">
        <f>+VLOOKUP(Table2[[#This Row],[Unit num]]&amp;"/"&amp;Table2[[#This Row],[Unit den]],Conversion!$A$2:$B$50,2,0)*Table2[[#This Row],[Total Water]]</f>
        <v>363.5</v>
      </c>
      <c r="W50" s="4" t="e">
        <f>IF(ISNUMBER(FIND("Brine",Table2[[#This Row],[Type]])),1/Table2[[#This Row],[Grade ore Li%]]/5.323,"")</f>
        <v>#DIV/0!</v>
      </c>
      <c r="X50" s="17" t="str">
        <f>+IF(ISBLANK(Table2[[#This Row],[Brine Water]]),"",Table2[[#This Row],[Brine_m3_tonLCE_GradeOnly]]/Table2[[#This Row],[BrineWater_m3_tonLCE]])</f>
        <v/>
      </c>
    </row>
    <row r="51" spans="1:24" hidden="1" x14ac:dyDescent="0.3">
      <c r="A51">
        <v>81</v>
      </c>
      <c r="B51">
        <v>0</v>
      </c>
      <c r="C51" t="s">
        <v>204</v>
      </c>
      <c r="D51" t="s">
        <v>196</v>
      </c>
      <c r="F51" s="6" t="e">
        <v>#N/A</v>
      </c>
      <c r="G51" t="s">
        <v>148</v>
      </c>
      <c r="H51" s="5"/>
      <c r="J51" s="4"/>
      <c r="K51">
        <v>217.18</v>
      </c>
      <c r="L51" s="4">
        <f>+Table2[[#This Row],[Brine Water]]+Table2[[#This Row],[Freshwater]]</f>
        <v>217.18</v>
      </c>
      <c r="M51" t="s">
        <v>200</v>
      </c>
      <c r="N51" t="s">
        <v>53</v>
      </c>
      <c r="O51" t="s">
        <v>156</v>
      </c>
      <c r="P51" t="s">
        <v>176</v>
      </c>
      <c r="R51">
        <v>15</v>
      </c>
      <c r="S51" t="str">
        <f>+VLOOKUP(R51,Refs[],2,0)</f>
        <v>Orquera et al. (2026)</v>
      </c>
      <c r="T51" s="4" t="str">
        <f>IF(ISBLANK(Table2[[#This Row],[Brine Water]]),"",+VLOOKUP(Table2[[#This Row],[Unit num]]&amp;"/"&amp;Table2[[#This Row],[Unit den]],Conversion!$A$2:$B$50,2,0)*Table2[[#This Row],[Brine Water]])</f>
        <v/>
      </c>
      <c r="U51" s="4">
        <f>IF(ISBLANK(Table2[[#This Row],[Freshwater]]),"",+VLOOKUP(Table2[[#This Row],[Unit num]]&amp;"/"&amp;Table2[[#This Row],[Unit den]],Conversion!$A$2:$B$50,2,0)*Table2[[#This Row],[Freshwater]])</f>
        <v>217.18</v>
      </c>
      <c r="V51" s="4">
        <f>+VLOOKUP(Table2[[#This Row],[Unit num]]&amp;"/"&amp;Table2[[#This Row],[Unit den]],Conversion!$A$2:$B$50,2,0)*Table2[[#This Row],[Total Water]]</f>
        <v>217.18</v>
      </c>
      <c r="W51" s="4" t="e">
        <f>IF(ISNUMBER(FIND("Brine",Table2[[#This Row],[Type]])),1/Table2[[#This Row],[Grade ore Li%]]/5.323,"")</f>
        <v>#DIV/0!</v>
      </c>
      <c r="X51" s="17" t="str">
        <f>+IF(ISBLANK(Table2[[#This Row],[Brine Water]]),"",Table2[[#This Row],[Brine_m3_tonLCE_GradeOnly]]/Table2[[#This Row],[BrineWater_m3_tonLCE]])</f>
        <v/>
      </c>
    </row>
    <row r="52" spans="1:24" hidden="1" x14ac:dyDescent="0.3">
      <c r="A52">
        <v>82</v>
      </c>
      <c r="B52">
        <v>0</v>
      </c>
      <c r="C52" t="s">
        <v>204</v>
      </c>
      <c r="D52" t="s">
        <v>197</v>
      </c>
      <c r="F52" s="6" t="e">
        <v>#N/A</v>
      </c>
      <c r="G52" t="s">
        <v>148</v>
      </c>
      <c r="H52" s="5"/>
      <c r="J52" s="4"/>
      <c r="K52" s="4">
        <v>520</v>
      </c>
      <c r="L52" s="4">
        <f>+Table2[[#This Row],[Brine Water]]+Table2[[#This Row],[Freshwater]]</f>
        <v>520</v>
      </c>
      <c r="M52" t="s">
        <v>200</v>
      </c>
      <c r="N52" t="s">
        <v>53</v>
      </c>
      <c r="O52" t="s">
        <v>155</v>
      </c>
      <c r="P52" t="s">
        <v>176</v>
      </c>
      <c r="R52">
        <v>15</v>
      </c>
      <c r="S52" t="str">
        <f>+VLOOKUP(R52,Refs[],2,0)</f>
        <v>Orquera et al. (2026)</v>
      </c>
      <c r="T52" s="4" t="str">
        <f>IF(ISBLANK(Table2[[#This Row],[Brine Water]]),"",+VLOOKUP(Table2[[#This Row],[Unit num]]&amp;"/"&amp;Table2[[#This Row],[Unit den]],Conversion!$A$2:$B$50,2,0)*Table2[[#This Row],[Brine Water]])</f>
        <v/>
      </c>
      <c r="U52" s="4">
        <f>IF(ISBLANK(Table2[[#This Row],[Freshwater]]),"",+VLOOKUP(Table2[[#This Row],[Unit num]]&amp;"/"&amp;Table2[[#This Row],[Unit den]],Conversion!$A$2:$B$50,2,0)*Table2[[#This Row],[Freshwater]])</f>
        <v>520</v>
      </c>
      <c r="V52" s="4">
        <f>+VLOOKUP(Table2[[#This Row],[Unit num]]&amp;"/"&amp;Table2[[#This Row],[Unit den]],Conversion!$A$2:$B$50,2,0)*Table2[[#This Row],[Total Water]]</f>
        <v>520</v>
      </c>
      <c r="W52" s="4" t="e">
        <f>IF(ISNUMBER(FIND("Brine",Table2[[#This Row],[Type]])),1/Table2[[#This Row],[Grade ore Li%]]/5.323,"")</f>
        <v>#DIV/0!</v>
      </c>
      <c r="X52" s="17" t="str">
        <f>+IF(ISBLANK(Table2[[#This Row],[Brine Water]]),"",Table2[[#This Row],[Brine_m3_tonLCE_GradeOnly]]/Table2[[#This Row],[BrineWater_m3_tonLCE]])</f>
        <v/>
      </c>
    </row>
    <row r="53" spans="1:24" hidden="1" x14ac:dyDescent="0.3">
      <c r="A53">
        <v>83</v>
      </c>
      <c r="B53">
        <v>0</v>
      </c>
      <c r="C53" t="s">
        <v>204</v>
      </c>
      <c r="D53" t="s">
        <v>197</v>
      </c>
      <c r="F53" s="6" t="e">
        <v>#N/A</v>
      </c>
      <c r="G53" t="s">
        <v>148</v>
      </c>
      <c r="H53" s="5"/>
      <c r="J53" s="4"/>
      <c r="K53" s="4">
        <v>295.5</v>
      </c>
      <c r="L53">
        <f>+Table2[[#This Row],[Brine Water]]+Table2[[#This Row],[Freshwater]]</f>
        <v>295.5</v>
      </c>
      <c r="M53" t="s">
        <v>200</v>
      </c>
      <c r="N53" t="s">
        <v>53</v>
      </c>
      <c r="O53" t="s">
        <v>156</v>
      </c>
      <c r="P53" t="s">
        <v>176</v>
      </c>
      <c r="R53">
        <v>15</v>
      </c>
      <c r="S53" t="str">
        <f>+VLOOKUP(R53,Refs[],2,0)</f>
        <v>Orquera et al. (2026)</v>
      </c>
      <c r="T53" s="4" t="str">
        <f>IF(ISBLANK(Table2[[#This Row],[Brine Water]]),"",+VLOOKUP(Table2[[#This Row],[Unit num]]&amp;"/"&amp;Table2[[#This Row],[Unit den]],Conversion!$A$2:$B$50,2,0)*Table2[[#This Row],[Brine Water]])</f>
        <v/>
      </c>
      <c r="U53" s="4">
        <f>IF(ISBLANK(Table2[[#This Row],[Freshwater]]),"",+VLOOKUP(Table2[[#This Row],[Unit num]]&amp;"/"&amp;Table2[[#This Row],[Unit den]],Conversion!$A$2:$B$50,2,0)*Table2[[#This Row],[Freshwater]])</f>
        <v>295.5</v>
      </c>
      <c r="V53" s="4">
        <f>+VLOOKUP(Table2[[#This Row],[Unit num]]&amp;"/"&amp;Table2[[#This Row],[Unit den]],Conversion!$A$2:$B$50,2,0)*Table2[[#This Row],[Total Water]]</f>
        <v>295.5</v>
      </c>
      <c r="W53" s="4" t="e">
        <f>IF(ISNUMBER(FIND("Brine",Table2[[#This Row],[Type]])),1/Table2[[#This Row],[Grade ore Li%]]/5.323,"")</f>
        <v>#DIV/0!</v>
      </c>
      <c r="X53" s="17" t="str">
        <f>+IF(ISBLANK(Table2[[#This Row],[Brine Water]]),"",Table2[[#This Row],[Brine_m3_tonLCE_GradeOnly]]/Table2[[#This Row],[BrineWater_m3_tonLCE]])</f>
        <v/>
      </c>
    </row>
    <row r="54" spans="1:24" hidden="1" x14ac:dyDescent="0.3">
      <c r="A54">
        <v>85</v>
      </c>
      <c r="B54">
        <v>0</v>
      </c>
      <c r="C54" t="s">
        <v>204</v>
      </c>
      <c r="D54" t="s">
        <v>198</v>
      </c>
      <c r="E54" s="8" t="s">
        <v>131</v>
      </c>
      <c r="F54" s="18">
        <v>36153</v>
      </c>
      <c r="G54" t="s">
        <v>148</v>
      </c>
      <c r="H54" s="5"/>
      <c r="J54" s="4"/>
      <c r="K54" s="4">
        <v>441.68</v>
      </c>
      <c r="L54" s="4">
        <f>+Table2[[#This Row],[Brine Water]]+Table2[[#This Row],[Freshwater]]</f>
        <v>441.68</v>
      </c>
      <c r="M54" t="s">
        <v>200</v>
      </c>
      <c r="N54" t="s">
        <v>53</v>
      </c>
      <c r="O54" t="s">
        <v>155</v>
      </c>
      <c r="P54" t="s">
        <v>176</v>
      </c>
      <c r="R54">
        <v>15</v>
      </c>
      <c r="S54" t="str">
        <f>+VLOOKUP(R54,Refs[],2,0)</f>
        <v>Orquera et al. (2026)</v>
      </c>
      <c r="T54" s="4" t="str">
        <f>IF(ISBLANK(Table2[[#This Row],[Brine Water]]),"",+VLOOKUP(Table2[[#This Row],[Unit num]]&amp;"/"&amp;Table2[[#This Row],[Unit den]],Conversion!$A$2:$B$50,2,0)*Table2[[#This Row],[Brine Water]])</f>
        <v/>
      </c>
      <c r="U54" s="4">
        <f>IF(ISBLANK(Table2[[#This Row],[Freshwater]]),"",+VLOOKUP(Table2[[#This Row],[Unit num]]&amp;"/"&amp;Table2[[#This Row],[Unit den]],Conversion!$A$2:$B$50,2,0)*Table2[[#This Row],[Freshwater]])</f>
        <v>441.68</v>
      </c>
      <c r="V54" s="4">
        <f>+VLOOKUP(Table2[[#This Row],[Unit num]]&amp;"/"&amp;Table2[[#This Row],[Unit den]],Conversion!$A$2:$B$50,2,0)*Table2[[#This Row],[Total Water]]</f>
        <v>441.68</v>
      </c>
      <c r="W54" s="4" t="e">
        <f>IF(ISNUMBER(FIND("Brine",Table2[[#This Row],[Type]])),1/Table2[[#This Row],[Grade ore Li%]]/5.323,"")</f>
        <v>#DIV/0!</v>
      </c>
      <c r="X54" s="17" t="str">
        <f>+IF(ISBLANK(Table2[[#This Row],[Brine Water]]),"",Table2[[#This Row],[Brine_m3_tonLCE_GradeOnly]]/Table2[[#This Row],[BrineWater_m3_tonLCE]])</f>
        <v/>
      </c>
    </row>
    <row r="55" spans="1:24" hidden="1" x14ac:dyDescent="0.3">
      <c r="A55">
        <v>86</v>
      </c>
      <c r="B55">
        <v>0</v>
      </c>
      <c r="C55" t="s">
        <v>204</v>
      </c>
      <c r="D55" t="s">
        <v>198</v>
      </c>
      <c r="E55" s="8" t="s">
        <v>131</v>
      </c>
      <c r="F55" s="18">
        <v>36153</v>
      </c>
      <c r="G55" t="s">
        <v>148</v>
      </c>
      <c r="H55" s="5"/>
      <c r="J55" s="4"/>
      <c r="K55" s="4">
        <v>256.33999999999997</v>
      </c>
      <c r="L55">
        <f>+Table2[[#This Row],[Brine Water]]+Table2[[#This Row],[Freshwater]]</f>
        <v>256.33999999999997</v>
      </c>
      <c r="M55" t="s">
        <v>200</v>
      </c>
      <c r="N55" t="s">
        <v>53</v>
      </c>
      <c r="O55" t="s">
        <v>156</v>
      </c>
      <c r="P55" t="s">
        <v>176</v>
      </c>
      <c r="R55">
        <v>15</v>
      </c>
      <c r="S55" t="str">
        <f>+VLOOKUP(R55,Refs[],2,0)</f>
        <v>Orquera et al. (2026)</v>
      </c>
      <c r="T55" s="4" t="str">
        <f>IF(ISBLANK(Table2[[#This Row],[Brine Water]]),"",+VLOOKUP(Table2[[#This Row],[Unit num]]&amp;"/"&amp;Table2[[#This Row],[Unit den]],Conversion!$A$2:$B$50,2,0)*Table2[[#This Row],[Brine Water]])</f>
        <v/>
      </c>
      <c r="U55" s="4">
        <f>IF(ISBLANK(Table2[[#This Row],[Freshwater]]),"",+VLOOKUP(Table2[[#This Row],[Unit num]]&amp;"/"&amp;Table2[[#This Row],[Unit den]],Conversion!$A$2:$B$50,2,0)*Table2[[#This Row],[Freshwater]])</f>
        <v>256.33999999999997</v>
      </c>
      <c r="V55" s="4">
        <f>+VLOOKUP(Table2[[#This Row],[Unit num]]&amp;"/"&amp;Table2[[#This Row],[Unit den]],Conversion!$A$2:$B$50,2,0)*Table2[[#This Row],[Total Water]]</f>
        <v>256.33999999999997</v>
      </c>
      <c r="W55" s="4" t="e">
        <f>IF(ISNUMBER(FIND("Brine",Table2[[#This Row],[Type]])),1/Table2[[#This Row],[Grade ore Li%]]/5.323,"")</f>
        <v>#DIV/0!</v>
      </c>
      <c r="X55" s="17" t="str">
        <f>+IF(ISBLANK(Table2[[#This Row],[Brine Water]]),"",Table2[[#This Row],[Brine_m3_tonLCE_GradeOnly]]/Table2[[#This Row],[BrineWater_m3_tonLCE]])</f>
        <v/>
      </c>
    </row>
    <row r="56" spans="1:24" x14ac:dyDescent="0.3">
      <c r="A56">
        <v>87</v>
      </c>
      <c r="B56">
        <v>1</v>
      </c>
      <c r="D56" t="s">
        <v>13</v>
      </c>
      <c r="E56" s="6" t="s">
        <v>131</v>
      </c>
      <c r="F56" s="18">
        <v>36153</v>
      </c>
      <c r="G56" t="s">
        <v>148</v>
      </c>
      <c r="H56" s="5">
        <f>0.32/1000</f>
        <v>3.2000000000000003E-4</v>
      </c>
      <c r="I56">
        <v>16</v>
      </c>
      <c r="J56" s="4">
        <v>587.1</v>
      </c>
      <c r="K56" s="4"/>
      <c r="L56">
        <f>+Table2[[#This Row],[Brine Water]]+Table2[[#This Row],[Freshwater]]</f>
        <v>587.1</v>
      </c>
      <c r="M56" t="s">
        <v>65</v>
      </c>
      <c r="N56" t="s">
        <v>53</v>
      </c>
      <c r="O56" t="s">
        <v>156</v>
      </c>
      <c r="P56" t="s">
        <v>244</v>
      </c>
      <c r="R56">
        <v>16</v>
      </c>
      <c r="S56" t="str">
        <f>+VLOOKUP(R56,Refs[],2,0)</f>
        <v>Vera et al. (2023)</v>
      </c>
      <c r="T56" s="4">
        <f>IF(ISBLANK(Table2[[#This Row],[Brine Water]]),"",+VLOOKUP(Table2[[#This Row],[Unit num]]&amp;"/"&amp;Table2[[#This Row],[Unit den]],Conversion!$A$2:$B$50,2,0)*Table2[[#This Row],[Brine Water]])</f>
        <v>587.1</v>
      </c>
      <c r="U56" s="4" t="str">
        <f>IF(ISBLANK(Table2[[#This Row],[Freshwater]]),"",+VLOOKUP(Table2[[#This Row],[Unit num]]&amp;"/"&amp;Table2[[#This Row],[Unit den]],Conversion!$A$2:$B$50,2,0)*Table2[[#This Row],[Freshwater]])</f>
        <v/>
      </c>
      <c r="V56" s="4">
        <f>+VLOOKUP(Table2[[#This Row],[Unit num]]&amp;"/"&amp;Table2[[#This Row],[Unit den]],Conversion!$A$2:$B$50,2,0)*Table2[[#This Row],[Total Water]]</f>
        <v>587.1</v>
      </c>
      <c r="W56" s="4">
        <f>IF(ISNUMBER(FIND("Brine",Table2[[#This Row],[Type]])),1/Table2[[#This Row],[Grade ore Li%]]/5.323,"")</f>
        <v>587.07495773060293</v>
      </c>
      <c r="X56" s="17">
        <f>+IF(ISBLANK(Table2[[#This Row],[Brine Water]]),"",Table2[[#This Row],[Brine_m3_tonLCE_GradeOnly]]/Table2[[#This Row],[BrineWater_m3_tonLCE]])</f>
        <v>0.9999573458194565</v>
      </c>
    </row>
    <row r="57" spans="1:24" x14ac:dyDescent="0.3">
      <c r="A57">
        <v>88</v>
      </c>
      <c r="B57">
        <v>1</v>
      </c>
      <c r="D57" t="s">
        <v>4</v>
      </c>
      <c r="E57" t="s">
        <v>126</v>
      </c>
      <c r="F57">
        <v>37384</v>
      </c>
      <c r="G57" t="s">
        <v>148</v>
      </c>
      <c r="H57" s="5">
        <f>1.57/1000</f>
        <v>1.57E-3</v>
      </c>
      <c r="I57">
        <v>16</v>
      </c>
      <c r="J57" s="4">
        <v>119.7</v>
      </c>
      <c r="K57" s="4"/>
      <c r="L57">
        <f>+Table2[[#This Row],[Brine Water]]+Table2[[#This Row],[Freshwater]]</f>
        <v>119.7</v>
      </c>
      <c r="M57" t="s">
        <v>65</v>
      </c>
      <c r="N57" t="s">
        <v>53</v>
      </c>
      <c r="O57" t="s">
        <v>156</v>
      </c>
      <c r="P57" t="s">
        <v>244</v>
      </c>
      <c r="R57">
        <v>16</v>
      </c>
      <c r="S57" t="str">
        <f>+VLOOKUP(R57,Refs[],2,0)</f>
        <v>Vera et al. (2023)</v>
      </c>
      <c r="T57" s="4">
        <f>IF(ISBLANK(Table2[[#This Row],[Brine Water]]),"",+VLOOKUP(Table2[[#This Row],[Unit num]]&amp;"/"&amp;Table2[[#This Row],[Unit den]],Conversion!$A$2:$B$50,2,0)*Table2[[#This Row],[Brine Water]])</f>
        <v>119.7</v>
      </c>
      <c r="U57" s="4" t="str">
        <f>IF(ISBLANK(Table2[[#This Row],[Freshwater]]),"",+VLOOKUP(Table2[[#This Row],[Unit num]]&amp;"/"&amp;Table2[[#This Row],[Unit den]],Conversion!$A$2:$B$50,2,0)*Table2[[#This Row],[Freshwater]])</f>
        <v/>
      </c>
      <c r="V57" s="4">
        <f>+VLOOKUP(Table2[[#This Row],[Unit num]]&amp;"/"&amp;Table2[[#This Row],[Unit den]],Conversion!$A$2:$B$50,2,0)*Table2[[#This Row],[Total Water]]</f>
        <v>119.7</v>
      </c>
      <c r="W57" s="4">
        <f>IF(ISNUMBER(FIND("Brine",Table2[[#This Row],[Type]])),1/Table2[[#This Row],[Grade ore Li%]]/5.323,"")</f>
        <v>119.65859011069615</v>
      </c>
      <c r="X57" s="17">
        <f>+IF(ISBLANK(Table2[[#This Row],[Brine Water]]),"",Table2[[#This Row],[Brine_m3_tonLCE_GradeOnly]]/Table2[[#This Row],[BrineWater_m3_tonLCE]])</f>
        <v>0.99965405272093688</v>
      </c>
    </row>
    <row r="58" spans="1:24" x14ac:dyDescent="0.3">
      <c r="A58">
        <v>89</v>
      </c>
      <c r="B58">
        <v>1</v>
      </c>
      <c r="D58" t="s">
        <v>4</v>
      </c>
      <c r="E58" t="s">
        <v>126</v>
      </c>
      <c r="F58">
        <v>37384</v>
      </c>
      <c r="G58" t="s">
        <v>148</v>
      </c>
      <c r="H58" s="5">
        <f>1.57/1000</f>
        <v>1.57E-3</v>
      </c>
      <c r="I58">
        <v>16</v>
      </c>
      <c r="J58" s="4"/>
      <c r="K58" s="3">
        <v>22.5</v>
      </c>
      <c r="L58">
        <f>+Table2[[#This Row],[Brine Water]]+Table2[[#This Row],[Freshwater]]</f>
        <v>22.5</v>
      </c>
      <c r="M58" t="s">
        <v>65</v>
      </c>
      <c r="N58" t="s">
        <v>53</v>
      </c>
      <c r="O58" t="s">
        <v>155</v>
      </c>
      <c r="P58" t="s">
        <v>177</v>
      </c>
      <c r="R58">
        <v>16</v>
      </c>
      <c r="S58" t="str">
        <f>+VLOOKUP(R58,Refs[],2,0)</f>
        <v>Vera et al. (2023)</v>
      </c>
      <c r="T58" s="4" t="str">
        <f>IF(ISBLANK(Table2[[#This Row],[Brine Water]]),"",+VLOOKUP(Table2[[#This Row],[Unit num]]&amp;"/"&amp;Table2[[#This Row],[Unit den]],Conversion!$A$2:$B$50,2,0)*Table2[[#This Row],[Brine Water]])</f>
        <v/>
      </c>
      <c r="U58" s="4">
        <f>IF(ISBLANK(Table2[[#This Row],[Freshwater]]),"",+VLOOKUP(Table2[[#This Row],[Unit num]]&amp;"/"&amp;Table2[[#This Row],[Unit den]],Conversion!$A$2:$B$50,2,0)*Table2[[#This Row],[Freshwater]])</f>
        <v>22.5</v>
      </c>
      <c r="V58" s="4">
        <f>+VLOOKUP(Table2[[#This Row],[Unit num]]&amp;"/"&amp;Table2[[#This Row],[Unit den]],Conversion!$A$2:$B$50,2,0)*Table2[[#This Row],[Total Water]]</f>
        <v>22.5</v>
      </c>
      <c r="W58" s="4">
        <f>IF(ISNUMBER(FIND("Brine",Table2[[#This Row],[Type]])),1/Table2[[#This Row],[Grade ore Li%]]/5.323,"")</f>
        <v>119.65859011069615</v>
      </c>
      <c r="X58" s="17" t="str">
        <f>+IF(ISBLANK(Table2[[#This Row],[Brine Water]]),"",Table2[[#This Row],[Brine_m3_tonLCE_GradeOnly]]/Table2[[#This Row],[BrineWater_m3_tonLCE]])</f>
        <v/>
      </c>
    </row>
    <row r="59" spans="1:24" x14ac:dyDescent="0.3">
      <c r="A59">
        <v>90</v>
      </c>
      <c r="B59">
        <v>1</v>
      </c>
      <c r="D59" t="s">
        <v>211</v>
      </c>
      <c r="E59" s="8" t="s">
        <v>130</v>
      </c>
      <c r="F59" s="8">
        <v>37059</v>
      </c>
      <c r="G59" t="s">
        <v>148</v>
      </c>
      <c r="H59" s="5">
        <f>0.57/1000</f>
        <v>5.6999999999999998E-4</v>
      </c>
      <c r="I59">
        <v>16</v>
      </c>
      <c r="J59" s="4">
        <v>329.7</v>
      </c>
      <c r="K59" s="3">
        <v>41.4</v>
      </c>
      <c r="L59">
        <f>+Table2[[#This Row],[Brine Water]]+Table2[[#This Row],[Freshwater]]</f>
        <v>371.09999999999997</v>
      </c>
      <c r="M59" t="s">
        <v>65</v>
      </c>
      <c r="N59" t="s">
        <v>53</v>
      </c>
      <c r="O59" t="s">
        <v>156</v>
      </c>
      <c r="P59" t="s">
        <v>176</v>
      </c>
      <c r="R59">
        <v>16</v>
      </c>
      <c r="S59" t="str">
        <f>+VLOOKUP(R59,Refs[],2,0)</f>
        <v>Vera et al. (2023)</v>
      </c>
      <c r="T59" s="4">
        <f>IF(ISBLANK(Table2[[#This Row],[Brine Water]]),"",+VLOOKUP(Table2[[#This Row],[Unit num]]&amp;"/"&amp;Table2[[#This Row],[Unit den]],Conversion!$A$2:$B$50,2,0)*Table2[[#This Row],[Brine Water]])</f>
        <v>329.7</v>
      </c>
      <c r="U59" s="4">
        <f>IF(ISBLANK(Table2[[#This Row],[Freshwater]]),"",+VLOOKUP(Table2[[#This Row],[Unit num]]&amp;"/"&amp;Table2[[#This Row],[Unit den]],Conversion!$A$2:$B$50,2,0)*Table2[[#This Row],[Freshwater]])</f>
        <v>41.4</v>
      </c>
      <c r="V59" s="4">
        <f>+VLOOKUP(Table2[[#This Row],[Unit num]]&amp;"/"&amp;Table2[[#This Row],[Unit den]],Conversion!$A$2:$B$50,2,0)*Table2[[#This Row],[Total Water]]</f>
        <v>371.09999999999997</v>
      </c>
      <c r="W59" s="4">
        <f>IF(ISNUMBER(FIND("Brine",Table2[[#This Row],[Type]])),1/Table2[[#This Row],[Grade ore Li%]]/5.323,"")</f>
        <v>329.58594118209294</v>
      </c>
      <c r="X59" s="17">
        <f>+IF(ISBLANK(Table2[[#This Row],[Brine Water]]),"",Table2[[#This Row],[Brine_m3_tonLCE_GradeOnly]]/Table2[[#This Row],[BrineWater_m3_tonLCE]])</f>
        <v>0.9996540527209371</v>
      </c>
    </row>
    <row r="60" spans="1:24" x14ac:dyDescent="0.3">
      <c r="A60">
        <v>91</v>
      </c>
      <c r="B60">
        <v>1</v>
      </c>
      <c r="D60" t="s">
        <v>211</v>
      </c>
      <c r="E60" s="8" t="s">
        <v>130</v>
      </c>
      <c r="F60" s="8">
        <v>37059</v>
      </c>
      <c r="G60" t="s">
        <v>148</v>
      </c>
      <c r="H60" s="5">
        <f>0.57/1000</f>
        <v>5.6999999999999998E-4</v>
      </c>
      <c r="I60">
        <v>16</v>
      </c>
      <c r="J60" s="4"/>
      <c r="K60" s="3">
        <v>50</v>
      </c>
      <c r="L60">
        <f>+Table2[[#This Row],[Brine Water]]+Table2[[#This Row],[Freshwater]]</f>
        <v>50</v>
      </c>
      <c r="M60" t="s">
        <v>65</v>
      </c>
      <c r="N60" t="s">
        <v>53</v>
      </c>
      <c r="O60" t="s">
        <v>155</v>
      </c>
      <c r="P60" t="s">
        <v>177</v>
      </c>
      <c r="R60">
        <v>16</v>
      </c>
      <c r="S60" t="str">
        <f>+VLOOKUP(R60,Refs[],2,0)</f>
        <v>Vera et al. (2023)</v>
      </c>
      <c r="T60" s="4" t="str">
        <f>IF(ISBLANK(Table2[[#This Row],[Brine Water]]),"",+VLOOKUP(Table2[[#This Row],[Unit num]]&amp;"/"&amp;Table2[[#This Row],[Unit den]],Conversion!$A$2:$B$50,2,0)*Table2[[#This Row],[Brine Water]])</f>
        <v/>
      </c>
      <c r="U60" s="4">
        <f>IF(ISBLANK(Table2[[#This Row],[Freshwater]]),"",+VLOOKUP(Table2[[#This Row],[Unit num]]&amp;"/"&amp;Table2[[#This Row],[Unit den]],Conversion!$A$2:$B$50,2,0)*Table2[[#This Row],[Freshwater]])</f>
        <v>50</v>
      </c>
      <c r="V60" s="4">
        <f>+VLOOKUP(Table2[[#This Row],[Unit num]]&amp;"/"&amp;Table2[[#This Row],[Unit den]],Conversion!$A$2:$B$50,2,0)*Table2[[#This Row],[Total Water]]</f>
        <v>50</v>
      </c>
      <c r="W60" s="4">
        <f>IF(ISNUMBER(FIND("Brine",Table2[[#This Row],[Type]])),1/Table2[[#This Row],[Grade ore Li%]]/5.323,"")</f>
        <v>329.58594118209294</v>
      </c>
      <c r="X60" s="17" t="str">
        <f>+IF(ISBLANK(Table2[[#This Row],[Brine Water]]),"",Table2[[#This Row],[Brine_m3_tonLCE_GradeOnly]]/Table2[[#This Row],[BrineWater_m3_tonLCE]])</f>
        <v/>
      </c>
    </row>
    <row r="61" spans="1:24" x14ac:dyDescent="0.3">
      <c r="A61">
        <v>92</v>
      </c>
      <c r="B61">
        <v>1</v>
      </c>
      <c r="D61" t="s">
        <v>59</v>
      </c>
      <c r="E61" t="s">
        <v>139</v>
      </c>
      <c r="F61" s="6">
        <v>90185</v>
      </c>
      <c r="G61" t="s">
        <v>148</v>
      </c>
      <c r="H61" s="5">
        <f>0.9/1000</f>
        <v>8.9999999999999998E-4</v>
      </c>
      <c r="I61">
        <v>16</v>
      </c>
      <c r="J61" s="4">
        <v>208.7</v>
      </c>
      <c r="K61" s="3">
        <v>757.5</v>
      </c>
      <c r="L61">
        <f>+Table2[[#This Row],[Brine Water]]+Table2[[#This Row],[Freshwater]]</f>
        <v>966.2</v>
      </c>
      <c r="M61" t="s">
        <v>65</v>
      </c>
      <c r="N61" t="s">
        <v>53</v>
      </c>
      <c r="O61" t="s">
        <v>156</v>
      </c>
      <c r="P61" t="s">
        <v>176</v>
      </c>
      <c r="R61">
        <v>16</v>
      </c>
      <c r="S61" t="str">
        <f>+VLOOKUP(R61,Refs[],2,0)</f>
        <v>Vera et al. (2023)</v>
      </c>
      <c r="T61" s="4">
        <f>IF(ISBLANK(Table2[[#This Row],[Brine Water]]),"",+VLOOKUP(Table2[[#This Row],[Unit num]]&amp;"/"&amp;Table2[[#This Row],[Unit den]],Conversion!$A$2:$B$50,2,0)*Table2[[#This Row],[Brine Water]])</f>
        <v>208.7</v>
      </c>
      <c r="U61" s="4">
        <f>IF(ISBLANK(Table2[[#This Row],[Freshwater]]),"",+VLOOKUP(Table2[[#This Row],[Unit num]]&amp;"/"&amp;Table2[[#This Row],[Unit den]],Conversion!$A$2:$B$50,2,0)*Table2[[#This Row],[Freshwater]])</f>
        <v>757.5</v>
      </c>
      <c r="V61" s="4">
        <f>+VLOOKUP(Table2[[#This Row],[Unit num]]&amp;"/"&amp;Table2[[#This Row],[Unit den]],Conversion!$A$2:$B$50,2,0)*Table2[[#This Row],[Total Water]]</f>
        <v>966.2</v>
      </c>
      <c r="W61" s="4">
        <f>IF(ISNUMBER(FIND("Brine",Table2[[#This Row],[Type]])),1/Table2[[#This Row],[Grade ore Li%]]/5.323,"")</f>
        <v>208.73776274865884</v>
      </c>
      <c r="X61" s="17">
        <f>+IF(ISBLANK(Table2[[#This Row],[Brine Water]]),"",Table2[[#This Row],[Brine_m3_tonLCE_GradeOnly]]/Table2[[#This Row],[BrineWater_m3_tonLCE]])</f>
        <v>1.00018094273435</v>
      </c>
    </row>
    <row r="62" spans="1:24" x14ac:dyDescent="0.3">
      <c r="A62">
        <v>93</v>
      </c>
      <c r="B62">
        <v>1</v>
      </c>
      <c r="D62" t="s">
        <v>208</v>
      </c>
      <c r="E62" s="6" t="s">
        <v>229</v>
      </c>
      <c r="F62" s="18">
        <v>38538</v>
      </c>
      <c r="G62" t="s">
        <v>148</v>
      </c>
      <c r="H62" s="5">
        <f>0.66/1000</f>
        <v>6.6E-4</v>
      </c>
      <c r="I62">
        <v>16</v>
      </c>
      <c r="J62" s="4">
        <v>284.60000000000002</v>
      </c>
      <c r="K62" s="4"/>
      <c r="L62">
        <f>+Table2[[#This Row],[Brine Water]]+Table2[[#This Row],[Freshwater]]</f>
        <v>284.60000000000002</v>
      </c>
      <c r="M62" t="s">
        <v>65</v>
      </c>
      <c r="N62" t="s">
        <v>53</v>
      </c>
      <c r="O62" t="s">
        <v>156</v>
      </c>
      <c r="P62" t="s">
        <v>244</v>
      </c>
      <c r="R62">
        <v>16</v>
      </c>
      <c r="S62" t="str">
        <f>+VLOOKUP(R62,Refs[],2,0)</f>
        <v>Vera et al. (2023)</v>
      </c>
      <c r="T62" s="4">
        <f>IF(ISBLANK(Table2[[#This Row],[Brine Water]]),"",+VLOOKUP(Table2[[#This Row],[Unit num]]&amp;"/"&amp;Table2[[#This Row],[Unit den]],Conversion!$A$2:$B$50,2,0)*Table2[[#This Row],[Brine Water]])</f>
        <v>284.60000000000002</v>
      </c>
      <c r="U62" s="4" t="str">
        <f>IF(ISBLANK(Table2[[#This Row],[Freshwater]]),"",+VLOOKUP(Table2[[#This Row],[Unit num]]&amp;"/"&amp;Table2[[#This Row],[Unit den]],Conversion!$A$2:$B$50,2,0)*Table2[[#This Row],[Freshwater]])</f>
        <v/>
      </c>
      <c r="V62" s="4">
        <f>+VLOOKUP(Table2[[#This Row],[Unit num]]&amp;"/"&amp;Table2[[#This Row],[Unit den]],Conversion!$A$2:$B$50,2,0)*Table2[[#This Row],[Total Water]]</f>
        <v>284.60000000000002</v>
      </c>
      <c r="W62" s="4">
        <f>IF(ISNUMBER(FIND("Brine",Table2[[#This Row],[Type]])),1/Table2[[#This Row],[Grade ore Li%]]/5.323,"")</f>
        <v>284.64240374817115</v>
      </c>
      <c r="X62" s="17">
        <f>+IF(ISBLANK(Table2[[#This Row],[Brine Water]]),"",Table2[[#This Row],[Brine_m3_tonLCE_GradeOnly]]/Table2[[#This Row],[BrineWater_m3_tonLCE]])</f>
        <v>1.0001489941959631</v>
      </c>
    </row>
    <row r="63" spans="1:24" x14ac:dyDescent="0.3">
      <c r="A63">
        <v>94</v>
      </c>
      <c r="B63">
        <v>1</v>
      </c>
      <c r="D63" t="s">
        <v>209</v>
      </c>
      <c r="E63" s="6" t="s">
        <v>224</v>
      </c>
      <c r="F63" s="6">
        <v>37627</v>
      </c>
      <c r="G63" t="s">
        <v>148</v>
      </c>
      <c r="H63" s="5">
        <f>0.36/1000</f>
        <v>3.5999999999999997E-4</v>
      </c>
      <c r="I63">
        <v>16</v>
      </c>
      <c r="J63" s="4">
        <v>521.9</v>
      </c>
      <c r="K63" s="2"/>
      <c r="L63">
        <f>+Table2[[#This Row],[Brine Water]]+Table2[[#This Row],[Freshwater]]</f>
        <v>521.9</v>
      </c>
      <c r="M63" t="s">
        <v>65</v>
      </c>
      <c r="N63" t="s">
        <v>53</v>
      </c>
      <c r="O63" t="s">
        <v>156</v>
      </c>
      <c r="P63" t="s">
        <v>244</v>
      </c>
      <c r="R63">
        <v>16</v>
      </c>
      <c r="S63" t="str">
        <f>+VLOOKUP(R63,Refs[],2,0)</f>
        <v>Vera et al. (2023)</v>
      </c>
      <c r="T63" s="4">
        <f>IF(ISBLANK(Table2[[#This Row],[Brine Water]]),"",+VLOOKUP(Table2[[#This Row],[Unit num]]&amp;"/"&amp;Table2[[#This Row],[Unit den]],Conversion!$A$2:$B$50,2,0)*Table2[[#This Row],[Brine Water]])</f>
        <v>521.9</v>
      </c>
      <c r="U63" s="4" t="str">
        <f>IF(ISBLANK(Table2[[#This Row],[Freshwater]]),"",+VLOOKUP(Table2[[#This Row],[Unit num]]&amp;"/"&amp;Table2[[#This Row],[Unit den]],Conversion!$A$2:$B$50,2,0)*Table2[[#This Row],[Freshwater]])</f>
        <v/>
      </c>
      <c r="V63" s="4">
        <f>+VLOOKUP(Table2[[#This Row],[Unit num]]&amp;"/"&amp;Table2[[#This Row],[Unit den]],Conversion!$A$2:$B$50,2,0)*Table2[[#This Row],[Total Water]]</f>
        <v>521.9</v>
      </c>
      <c r="W63" s="4">
        <f>IF(ISNUMBER(FIND("Brine",Table2[[#This Row],[Type]])),1/Table2[[#This Row],[Grade ore Li%]]/5.323,"")</f>
        <v>521.84440687164715</v>
      </c>
      <c r="X63" s="17">
        <f>+IF(ISBLANK(Table2[[#This Row],[Brine Water]]),"",Table2[[#This Row],[Brine_m3_tonLCE_GradeOnly]]/Table2[[#This Row],[BrineWater_m3_tonLCE]])</f>
        <v>0.99989347934785822</v>
      </c>
    </row>
    <row r="64" spans="1:24" x14ac:dyDescent="0.3">
      <c r="A64">
        <v>95</v>
      </c>
      <c r="B64">
        <v>1</v>
      </c>
      <c r="D64" t="s">
        <v>210</v>
      </c>
      <c r="F64" s="18">
        <v>38542</v>
      </c>
      <c r="G64" t="s">
        <v>148</v>
      </c>
      <c r="H64" s="5">
        <f>0.21/1000</f>
        <v>2.0999999999999998E-4</v>
      </c>
      <c r="I64">
        <v>16</v>
      </c>
      <c r="J64" s="4">
        <v>894.6</v>
      </c>
      <c r="K64" s="3">
        <v>29.6</v>
      </c>
      <c r="L64">
        <f>+Table2[[#This Row],[Brine Water]]+Table2[[#This Row],[Freshwater]]</f>
        <v>924.2</v>
      </c>
      <c r="M64" t="s">
        <v>65</v>
      </c>
      <c r="N64" t="s">
        <v>53</v>
      </c>
      <c r="O64" t="s">
        <v>156</v>
      </c>
      <c r="P64" t="s">
        <v>176</v>
      </c>
      <c r="R64">
        <v>16</v>
      </c>
      <c r="S64" t="str">
        <f>+VLOOKUP(R64,Refs[],2,0)</f>
        <v>Vera et al. (2023)</v>
      </c>
      <c r="T64" s="4">
        <f>IF(ISBLANK(Table2[[#This Row],[Brine Water]]),"",+VLOOKUP(Table2[[#This Row],[Unit num]]&amp;"/"&amp;Table2[[#This Row],[Unit den]],Conversion!$A$2:$B$50,2,0)*Table2[[#This Row],[Brine Water]])</f>
        <v>894.6</v>
      </c>
      <c r="U64" s="4">
        <f>IF(ISBLANK(Table2[[#This Row],[Freshwater]]),"",+VLOOKUP(Table2[[#This Row],[Unit num]]&amp;"/"&amp;Table2[[#This Row],[Unit den]],Conversion!$A$2:$B$50,2,0)*Table2[[#This Row],[Freshwater]])</f>
        <v>29.6</v>
      </c>
      <c r="V64" s="4">
        <f>+VLOOKUP(Table2[[#This Row],[Unit num]]&amp;"/"&amp;Table2[[#This Row],[Unit den]],Conversion!$A$2:$B$50,2,0)*Table2[[#This Row],[Total Water]]</f>
        <v>924.2</v>
      </c>
      <c r="W64" s="4">
        <f>IF(ISNUMBER(FIND("Brine",Table2[[#This Row],[Type]])),1/Table2[[#This Row],[Grade ore Li%]]/5.323,"")</f>
        <v>894.59041177996653</v>
      </c>
      <c r="X64" s="17">
        <f>+IF(ISBLANK(Table2[[#This Row],[Brine Water]]),"",Table2[[#This Row],[Brine_m3_tonLCE_GradeOnly]]/Table2[[#This Row],[BrineWater_m3_tonLCE]])</f>
        <v>0.99998928211487426</v>
      </c>
    </row>
    <row r="65" spans="1:24" x14ac:dyDescent="0.3">
      <c r="A65">
        <v>24</v>
      </c>
      <c r="B65">
        <v>1</v>
      </c>
      <c r="D65" t="s">
        <v>27</v>
      </c>
      <c r="E65" s="6" t="s">
        <v>136</v>
      </c>
      <c r="F65" s="18">
        <v>83904</v>
      </c>
      <c r="G65" s="6" t="s">
        <v>151</v>
      </c>
      <c r="H65" s="5">
        <v>2.0000000000000001E-4</v>
      </c>
      <c r="I65">
        <v>3</v>
      </c>
      <c r="J65" s="4"/>
      <c r="K65">
        <v>356</v>
      </c>
      <c r="L65">
        <f>+Table2[[#This Row],[Brine Water]]+Table2[[#This Row],[Freshwater]]</f>
        <v>356</v>
      </c>
      <c r="M65" t="s">
        <v>32</v>
      </c>
      <c r="N65" t="s">
        <v>34</v>
      </c>
      <c r="O65" t="s">
        <v>156</v>
      </c>
      <c r="P65" t="s">
        <v>39</v>
      </c>
      <c r="Q65" t="s">
        <v>41</v>
      </c>
      <c r="R65">
        <v>3</v>
      </c>
      <c r="S65" t="str">
        <f>+VLOOKUP(R65,Refs[],2,0)</f>
        <v>Schenker &amp; Pfister (2025)</v>
      </c>
      <c r="T65" s="4" t="str">
        <f>IF(ISBLANK(Table2[[#This Row],[Brine Water]]),"",+VLOOKUP(Table2[[#This Row],[Unit num]]&amp;"/"&amp;Table2[[#This Row],[Unit den]],Conversion!$A$2:$B$50,2,0)*Table2[[#This Row],[Brine Water]])</f>
        <v/>
      </c>
      <c r="U65" s="4">
        <f>IF(ISBLANK(Table2[[#This Row],[Freshwater]]),"",+VLOOKUP(Table2[[#This Row],[Unit num]]&amp;"/"&amp;Table2[[#This Row],[Unit den]],Conversion!$A$2:$B$50,2,0)*Table2[[#This Row],[Freshwater]])</f>
        <v>356</v>
      </c>
      <c r="V65" s="4">
        <f>+VLOOKUP(Table2[[#This Row],[Unit num]]&amp;"/"&amp;Table2[[#This Row],[Unit den]],Conversion!$A$2:$B$50,2,0)*Table2[[#This Row],[Total Water]]</f>
        <v>356</v>
      </c>
      <c r="W65" s="4">
        <f>IF(ISNUMBER(FIND("Brine",Table2[[#This Row],[Type]])),1/Table2[[#This Row],[Grade ore Li%]]/5.323,"")</f>
        <v>939.31993236896483</v>
      </c>
      <c r="X65" s="17" t="str">
        <f>+IF(ISBLANK(Table2[[#This Row],[Brine Water]]),"",Table2[[#This Row],[Brine_m3_tonLCE_GradeOnly]]/Table2[[#This Row],[BrineWater_m3_tonLCE]])</f>
        <v/>
      </c>
    </row>
    <row r="66" spans="1:24" x14ac:dyDescent="0.3">
      <c r="A66">
        <v>25</v>
      </c>
      <c r="B66">
        <v>1</v>
      </c>
      <c r="D66" t="s">
        <v>38</v>
      </c>
      <c r="E66" s="6" t="s">
        <v>137</v>
      </c>
      <c r="F66" s="6">
        <v>38558</v>
      </c>
      <c r="G66" s="6" t="s">
        <v>151</v>
      </c>
      <c r="H66" s="5">
        <v>2.0000000000000001E-4</v>
      </c>
      <c r="I66">
        <v>3</v>
      </c>
      <c r="J66" s="4"/>
      <c r="K66">
        <v>357</v>
      </c>
      <c r="L66">
        <f>+Table2[[#This Row],[Brine Water]]+Table2[[#This Row],[Freshwater]]</f>
        <v>357</v>
      </c>
      <c r="M66" t="s">
        <v>32</v>
      </c>
      <c r="N66" t="s">
        <v>34</v>
      </c>
      <c r="O66" t="s">
        <v>156</v>
      </c>
      <c r="P66" t="s">
        <v>39</v>
      </c>
      <c r="Q66" t="s">
        <v>41</v>
      </c>
      <c r="R66">
        <v>3</v>
      </c>
      <c r="S66" t="str">
        <f>+VLOOKUP(R66,Refs[],2,0)</f>
        <v>Schenker &amp; Pfister (2025)</v>
      </c>
      <c r="T66" s="4" t="str">
        <f>IF(ISBLANK(Table2[[#This Row],[Brine Water]]),"",+VLOOKUP(Table2[[#This Row],[Unit num]]&amp;"/"&amp;Table2[[#This Row],[Unit den]],Conversion!$A$2:$B$50,2,0)*Table2[[#This Row],[Brine Water]])</f>
        <v/>
      </c>
      <c r="U66" s="4">
        <f>IF(ISBLANK(Table2[[#This Row],[Freshwater]]),"",+VLOOKUP(Table2[[#This Row],[Unit num]]&amp;"/"&amp;Table2[[#This Row],[Unit den]],Conversion!$A$2:$B$50,2,0)*Table2[[#This Row],[Freshwater]])</f>
        <v>357</v>
      </c>
      <c r="V66" s="4">
        <f>+VLOOKUP(Table2[[#This Row],[Unit num]]&amp;"/"&amp;Table2[[#This Row],[Unit den]],Conversion!$A$2:$B$50,2,0)*Table2[[#This Row],[Total Water]]</f>
        <v>357</v>
      </c>
      <c r="W66" s="4">
        <f>IF(ISNUMBER(FIND("Brine",Table2[[#This Row],[Type]])),1/Table2[[#This Row],[Grade ore Li%]]/5.323,"")</f>
        <v>939.31993236896483</v>
      </c>
      <c r="X66" s="17" t="str">
        <f>+IF(ISBLANK(Table2[[#This Row],[Brine Water]]),"",Table2[[#This Row],[Brine_m3_tonLCE_GradeOnly]]/Table2[[#This Row],[BrineWater_m3_tonLCE]])</f>
        <v/>
      </c>
    </row>
    <row r="67" spans="1:24" hidden="1" x14ac:dyDescent="0.3">
      <c r="A67">
        <v>45</v>
      </c>
      <c r="B67">
        <v>0</v>
      </c>
      <c r="C67" t="s">
        <v>230</v>
      </c>
      <c r="D67" t="s">
        <v>89</v>
      </c>
      <c r="E67" s="6" t="s">
        <v>143</v>
      </c>
      <c r="F67" s="18">
        <v>91782</v>
      </c>
      <c r="G67" s="6" t="s">
        <v>153</v>
      </c>
      <c r="H67" s="10">
        <f>217*0.0001/100</f>
        <v>2.1700000000000002E-4</v>
      </c>
      <c r="I67" t="s">
        <v>169</v>
      </c>
      <c r="J67" s="4"/>
      <c r="K67">
        <v>2.58</v>
      </c>
      <c r="L67">
        <f>+Table2[[#This Row],[Brine Water]]+Table2[[#This Row],[Freshwater]]</f>
        <v>2.58</v>
      </c>
      <c r="M67" t="s">
        <v>32</v>
      </c>
      <c r="N67" t="s">
        <v>33</v>
      </c>
      <c r="O67" t="s">
        <v>155</v>
      </c>
      <c r="Q67" t="s">
        <v>96</v>
      </c>
      <c r="R67">
        <v>7</v>
      </c>
      <c r="S67" t="str">
        <f>+VLOOKUP(R67,Refs[],2,0)</f>
        <v>Iyer &amp; Kelly (2024)</v>
      </c>
      <c r="T67" s="4" t="str">
        <f>IF(ISBLANK(Table2[[#This Row],[Brine Water]]),"",+VLOOKUP(Table2[[#This Row],[Unit num]]&amp;"/"&amp;Table2[[#This Row],[Unit den]],Conversion!$A$2:$B$50,2,0)*Table2[[#This Row],[Brine Water]])</f>
        <v/>
      </c>
      <c r="U67" s="4">
        <f>IF(ISBLANK(Table2[[#This Row],[Freshwater]]),"",+VLOOKUP(Table2[[#This Row],[Unit num]]&amp;"/"&amp;Table2[[#This Row],[Unit den]],Conversion!$A$2:$B$50,2,0)*Table2[[#This Row],[Freshwater]])</f>
        <v>2.58</v>
      </c>
      <c r="V67" s="4">
        <f>+VLOOKUP(Table2[[#This Row],[Unit num]]&amp;"/"&amp;Table2[[#This Row],[Unit den]],Conversion!$A$2:$B$50,2,0)*Table2[[#This Row],[Total Water]]</f>
        <v>2.58</v>
      </c>
      <c r="W67" s="4">
        <f>IF(ISNUMBER(FIND("Brine",Table2[[#This Row],[Type]])),1/Table2[[#This Row],[Grade ore Li%]]/5.323,"")</f>
        <v>865.73265656125784</v>
      </c>
      <c r="X67" s="17" t="str">
        <f>+IF(ISBLANK(Table2[[#This Row],[Brine Water]]),"",Table2[[#This Row],[Brine_m3_tonLCE_GradeOnly]]/Table2[[#This Row],[BrineWater_m3_tonLCE]])</f>
        <v/>
      </c>
    </row>
    <row r="68" spans="1:24" hidden="1" x14ac:dyDescent="0.3">
      <c r="A68">
        <v>46</v>
      </c>
      <c r="B68">
        <v>0</v>
      </c>
      <c r="C68" t="s">
        <v>226</v>
      </c>
      <c r="D68" t="s">
        <v>90</v>
      </c>
      <c r="E68" s="6" t="s">
        <v>144</v>
      </c>
      <c r="F68" s="18">
        <v>83068</v>
      </c>
      <c r="G68" s="6" t="s">
        <v>153</v>
      </c>
      <c r="H68" s="10">
        <f>481*0.0001/100</f>
        <v>4.8100000000000004E-4</v>
      </c>
      <c r="I68" t="s">
        <v>157</v>
      </c>
      <c r="J68" s="4"/>
      <c r="K68">
        <v>0.76</v>
      </c>
      <c r="L68">
        <f>+Table2[[#This Row],[Brine Water]]+Table2[[#This Row],[Freshwater]]</f>
        <v>0.76</v>
      </c>
      <c r="M68" t="s">
        <v>32</v>
      </c>
      <c r="N68" t="s">
        <v>33</v>
      </c>
      <c r="O68" t="s">
        <v>155</v>
      </c>
      <c r="Q68" t="s">
        <v>96</v>
      </c>
      <c r="R68">
        <v>7</v>
      </c>
      <c r="S68" t="str">
        <f>+VLOOKUP(R68,Refs[],2,0)</f>
        <v>Iyer &amp; Kelly (2024)</v>
      </c>
      <c r="T68" s="4" t="str">
        <f>IF(ISBLANK(Table2[[#This Row],[Brine Water]]),"",+VLOOKUP(Table2[[#This Row],[Unit num]]&amp;"/"&amp;Table2[[#This Row],[Unit den]],Conversion!$A$2:$B$50,2,0)*Table2[[#This Row],[Brine Water]])</f>
        <v/>
      </c>
      <c r="U68" s="4">
        <f>IF(ISBLANK(Table2[[#This Row],[Freshwater]]),"",+VLOOKUP(Table2[[#This Row],[Unit num]]&amp;"/"&amp;Table2[[#This Row],[Unit den]],Conversion!$A$2:$B$50,2,0)*Table2[[#This Row],[Freshwater]])</f>
        <v>0.76</v>
      </c>
      <c r="V68" s="4">
        <f>+VLOOKUP(Table2[[#This Row],[Unit num]]&amp;"/"&amp;Table2[[#This Row],[Unit den]],Conversion!$A$2:$B$50,2,0)*Table2[[#This Row],[Total Water]]</f>
        <v>0.76</v>
      </c>
      <c r="W68" s="4">
        <f>IF(ISNUMBER(FIND("Brine",Table2[[#This Row],[Type]])),1/Table2[[#This Row],[Grade ore Li%]]/5.323,"")</f>
        <v>390.569618448634</v>
      </c>
      <c r="X68" s="17" t="str">
        <f>+IF(ISBLANK(Table2[[#This Row],[Brine Water]]),"",Table2[[#This Row],[Brine_m3_tonLCE_GradeOnly]]/Table2[[#This Row],[BrineWater_m3_tonLCE]])</f>
        <v/>
      </c>
    </row>
    <row r="69" spans="1:24" x14ac:dyDescent="0.3">
      <c r="A69">
        <v>38</v>
      </c>
      <c r="B69">
        <v>1</v>
      </c>
      <c r="D69" t="s">
        <v>76</v>
      </c>
      <c r="E69" t="s">
        <v>76</v>
      </c>
      <c r="F69">
        <v>37326</v>
      </c>
      <c r="G69" t="s">
        <v>149</v>
      </c>
      <c r="H69" s="5">
        <f>1.6*0.464/100</f>
        <v>7.4240000000000009E-3</v>
      </c>
      <c r="I69">
        <v>6</v>
      </c>
      <c r="J69" s="4"/>
      <c r="K69">
        <v>200</v>
      </c>
      <c r="L69">
        <f>+Table2[[#This Row],[Brine Water]]+Table2[[#This Row],[Freshwater]]</f>
        <v>200</v>
      </c>
      <c r="M69" t="s">
        <v>65</v>
      </c>
      <c r="N69" t="s">
        <v>53</v>
      </c>
      <c r="O69" t="s">
        <v>155</v>
      </c>
      <c r="P69" t="s">
        <v>81</v>
      </c>
      <c r="Q69" t="s">
        <v>219</v>
      </c>
      <c r="R69">
        <v>6</v>
      </c>
      <c r="S69" t="str">
        <f>+VLOOKUP(R69,Refs[],2,0)</f>
        <v>Feng et al. (2024)</v>
      </c>
      <c r="T69" s="4" t="str">
        <f>IF(ISBLANK(Table2[[#This Row],[Brine Water]]),"",+VLOOKUP(Table2[[#This Row],[Unit num]]&amp;"/"&amp;Table2[[#This Row],[Unit den]],Conversion!$A$2:$B$50,2,0)*Table2[[#This Row],[Brine Water]])</f>
        <v/>
      </c>
      <c r="U69" s="4">
        <f>IF(ISBLANK(Table2[[#This Row],[Freshwater]]),"",+VLOOKUP(Table2[[#This Row],[Unit num]]&amp;"/"&amp;Table2[[#This Row],[Unit den]],Conversion!$A$2:$B$50,2,0)*Table2[[#This Row],[Freshwater]])</f>
        <v>200</v>
      </c>
      <c r="V69" s="4">
        <f>+VLOOKUP(Table2[[#This Row],[Unit num]]&amp;"/"&amp;Table2[[#This Row],[Unit den]],Conversion!$A$2:$B$50,2,0)*Table2[[#This Row],[Total Water]]</f>
        <v>200</v>
      </c>
      <c r="W69" s="4">
        <v>0</v>
      </c>
      <c r="X69" s="17" t="str">
        <f>+IF(ISBLANK(Table2[[#This Row],[Brine Water]]),"",Table2[[#This Row],[Brine_m3_tonLCE_GradeOnly]]/Table2[[#This Row],[BrineWater_m3_tonLCE]])</f>
        <v/>
      </c>
    </row>
    <row r="70" spans="1:24" x14ac:dyDescent="0.3">
      <c r="A70">
        <v>39</v>
      </c>
      <c r="B70">
        <v>1</v>
      </c>
      <c r="D70" t="s">
        <v>77</v>
      </c>
      <c r="E70" s="6" t="s">
        <v>140</v>
      </c>
      <c r="F70" s="6">
        <v>30688</v>
      </c>
      <c r="G70" s="6" t="s">
        <v>149</v>
      </c>
      <c r="H70" s="5">
        <f>1.2*0.464/100</f>
        <v>5.568E-3</v>
      </c>
      <c r="I70">
        <v>6</v>
      </c>
      <c r="J70" s="4"/>
      <c r="K70">
        <v>140</v>
      </c>
      <c r="L70">
        <f>+Table2[[#This Row],[Brine Water]]+Table2[[#This Row],[Freshwater]]</f>
        <v>140</v>
      </c>
      <c r="M70" t="s">
        <v>65</v>
      </c>
      <c r="N70" t="s">
        <v>53</v>
      </c>
      <c r="O70" t="s">
        <v>155</v>
      </c>
      <c r="P70" t="s">
        <v>81</v>
      </c>
      <c r="Q70" t="s">
        <v>219</v>
      </c>
      <c r="R70">
        <v>6</v>
      </c>
      <c r="S70" t="str">
        <f>+VLOOKUP(R70,Refs[],2,0)</f>
        <v>Feng et al. (2024)</v>
      </c>
      <c r="T70" s="4" t="str">
        <f>IF(ISBLANK(Table2[[#This Row],[Brine Water]]),"",+VLOOKUP(Table2[[#This Row],[Unit num]]&amp;"/"&amp;Table2[[#This Row],[Unit den]],Conversion!$A$2:$B$50,2,0)*Table2[[#This Row],[Brine Water]])</f>
        <v/>
      </c>
      <c r="U70" s="4">
        <f>IF(ISBLANK(Table2[[#This Row],[Freshwater]]),"",+VLOOKUP(Table2[[#This Row],[Unit num]]&amp;"/"&amp;Table2[[#This Row],[Unit den]],Conversion!$A$2:$B$50,2,0)*Table2[[#This Row],[Freshwater]])</f>
        <v>140</v>
      </c>
      <c r="V70" s="4">
        <f>+VLOOKUP(Table2[[#This Row],[Unit num]]&amp;"/"&amp;Table2[[#This Row],[Unit den]],Conversion!$A$2:$B$50,2,0)*Table2[[#This Row],[Total Water]]</f>
        <v>140</v>
      </c>
      <c r="W70" s="4">
        <v>0</v>
      </c>
      <c r="X70" s="17" t="str">
        <f>+IF(ISBLANK(Table2[[#This Row],[Brine Water]]),"",Table2[[#This Row],[Brine_m3_tonLCE_GradeOnly]]/Table2[[#This Row],[BrineWater_m3_tonLCE]])</f>
        <v/>
      </c>
    </row>
    <row r="71" spans="1:24" x14ac:dyDescent="0.3">
      <c r="A71">
        <v>40</v>
      </c>
      <c r="B71">
        <v>1</v>
      </c>
      <c r="D71" t="s">
        <v>78</v>
      </c>
      <c r="E71" s="6" t="s">
        <v>141</v>
      </c>
      <c r="F71" s="18">
        <v>37174</v>
      </c>
      <c r="G71" s="6" t="s">
        <v>149</v>
      </c>
      <c r="H71" s="5">
        <f>1.37*0.464/100</f>
        <v>6.356800000000001E-3</v>
      </c>
      <c r="I71">
        <v>6</v>
      </c>
      <c r="J71" s="4"/>
      <c r="K71">
        <v>130</v>
      </c>
      <c r="L71">
        <f>+Table2[[#This Row],[Brine Water]]+Table2[[#This Row],[Freshwater]]</f>
        <v>130</v>
      </c>
      <c r="M71" t="s">
        <v>65</v>
      </c>
      <c r="N71" t="s">
        <v>53</v>
      </c>
      <c r="O71" t="s">
        <v>155</v>
      </c>
      <c r="P71" t="s">
        <v>81</v>
      </c>
      <c r="Q71" t="s">
        <v>219</v>
      </c>
      <c r="R71">
        <v>6</v>
      </c>
      <c r="S71" t="str">
        <f>+VLOOKUP(R71,Refs[],2,0)</f>
        <v>Feng et al. (2024)</v>
      </c>
      <c r="T71" s="4" t="str">
        <f>IF(ISBLANK(Table2[[#This Row],[Brine Water]]),"",+VLOOKUP(Table2[[#This Row],[Unit num]]&amp;"/"&amp;Table2[[#This Row],[Unit den]],Conversion!$A$2:$B$50,2,0)*Table2[[#This Row],[Brine Water]])</f>
        <v/>
      </c>
      <c r="U71" s="4">
        <f>IF(ISBLANK(Table2[[#This Row],[Freshwater]]),"",+VLOOKUP(Table2[[#This Row],[Unit num]]&amp;"/"&amp;Table2[[#This Row],[Unit den]],Conversion!$A$2:$B$50,2,0)*Table2[[#This Row],[Freshwater]])</f>
        <v>130</v>
      </c>
      <c r="V71" s="4">
        <f>+VLOOKUP(Table2[[#This Row],[Unit num]]&amp;"/"&amp;Table2[[#This Row],[Unit den]],Conversion!$A$2:$B$50,2,0)*Table2[[#This Row],[Total Water]]</f>
        <v>130</v>
      </c>
      <c r="W71" s="4">
        <v>0</v>
      </c>
      <c r="X71" s="17" t="str">
        <f>+IF(ISBLANK(Table2[[#This Row],[Brine Water]]),"",Table2[[#This Row],[Brine_m3_tonLCE_GradeOnly]]/Table2[[#This Row],[BrineWater_m3_tonLCE]])</f>
        <v/>
      </c>
    </row>
    <row r="72" spans="1:24" x14ac:dyDescent="0.3">
      <c r="A72">
        <v>41</v>
      </c>
      <c r="B72">
        <v>1</v>
      </c>
      <c r="D72" t="s">
        <v>79</v>
      </c>
      <c r="E72" t="s">
        <v>142</v>
      </c>
      <c r="F72" s="18">
        <v>78512</v>
      </c>
      <c r="G72" t="s">
        <v>149</v>
      </c>
      <c r="H72" s="5">
        <f>1.17*0.464/100</f>
        <v>5.4288000000000001E-3</v>
      </c>
      <c r="I72">
        <v>6</v>
      </c>
      <c r="J72" s="4"/>
      <c r="K72">
        <v>165</v>
      </c>
      <c r="L72">
        <f>+Table2[[#This Row],[Brine Water]]+Table2[[#This Row],[Freshwater]]</f>
        <v>165</v>
      </c>
      <c r="M72" t="s">
        <v>65</v>
      </c>
      <c r="N72" t="s">
        <v>53</v>
      </c>
      <c r="O72" t="s">
        <v>155</v>
      </c>
      <c r="P72" t="s">
        <v>81</v>
      </c>
      <c r="Q72" t="s">
        <v>219</v>
      </c>
      <c r="R72">
        <v>6</v>
      </c>
      <c r="S72" t="str">
        <f>+VLOOKUP(R72,Refs[],2,0)</f>
        <v>Feng et al. (2024)</v>
      </c>
      <c r="T72" s="4" t="str">
        <f>IF(ISBLANK(Table2[[#This Row],[Brine Water]]),"",+VLOOKUP(Table2[[#This Row],[Unit num]]&amp;"/"&amp;Table2[[#This Row],[Unit den]],Conversion!$A$2:$B$50,2,0)*Table2[[#This Row],[Brine Water]])</f>
        <v/>
      </c>
      <c r="U72" s="4">
        <f>IF(ISBLANK(Table2[[#This Row],[Freshwater]]),"",+VLOOKUP(Table2[[#This Row],[Unit num]]&amp;"/"&amp;Table2[[#This Row],[Unit den]],Conversion!$A$2:$B$50,2,0)*Table2[[#This Row],[Freshwater]])</f>
        <v>165</v>
      </c>
      <c r="V72" s="4">
        <f>+VLOOKUP(Table2[[#This Row],[Unit num]]&amp;"/"&amp;Table2[[#This Row],[Unit den]],Conversion!$A$2:$B$50,2,0)*Table2[[#This Row],[Total Water]]</f>
        <v>165</v>
      </c>
      <c r="W72" s="4">
        <v>0</v>
      </c>
      <c r="X72" s="17" t="str">
        <f>+IF(ISBLANK(Table2[[#This Row],[Brine Water]]),"",Table2[[#This Row],[Brine_m3_tonLCE_GradeOnly]]/Table2[[#This Row],[BrineWater_m3_tonLCE]])</f>
        <v/>
      </c>
    </row>
    <row r="73" spans="1:24" x14ac:dyDescent="0.3">
      <c r="A73">
        <v>42</v>
      </c>
      <c r="B73">
        <v>1</v>
      </c>
      <c r="D73" t="s">
        <v>80</v>
      </c>
      <c r="E73" t="s">
        <v>80</v>
      </c>
      <c r="F73">
        <v>51956</v>
      </c>
      <c r="G73" t="s">
        <v>149</v>
      </c>
      <c r="H73" s="5">
        <f>1.1*0.464/100</f>
        <v>5.1040000000000009E-3</v>
      </c>
      <c r="I73">
        <v>6</v>
      </c>
      <c r="J73" s="4"/>
      <c r="K73">
        <v>160</v>
      </c>
      <c r="L73">
        <f>+Table2[[#This Row],[Brine Water]]+Table2[[#This Row],[Freshwater]]</f>
        <v>160</v>
      </c>
      <c r="M73" t="s">
        <v>65</v>
      </c>
      <c r="N73" t="s">
        <v>53</v>
      </c>
      <c r="O73" t="s">
        <v>155</v>
      </c>
      <c r="P73" t="s">
        <v>81</v>
      </c>
      <c r="Q73" t="s">
        <v>219</v>
      </c>
      <c r="R73">
        <v>6</v>
      </c>
      <c r="S73" t="str">
        <f>+VLOOKUP(R73,Refs[],2,0)</f>
        <v>Feng et al. (2024)</v>
      </c>
      <c r="T73" s="4" t="str">
        <f>IF(ISBLANK(Table2[[#This Row],[Brine Water]]),"",+VLOOKUP(Table2[[#This Row],[Unit num]]&amp;"/"&amp;Table2[[#This Row],[Unit den]],Conversion!$A$2:$B$50,2,0)*Table2[[#This Row],[Brine Water]])</f>
        <v/>
      </c>
      <c r="U73" s="4">
        <f>IF(ISBLANK(Table2[[#This Row],[Freshwater]]),"",+VLOOKUP(Table2[[#This Row],[Unit num]]&amp;"/"&amp;Table2[[#This Row],[Unit den]],Conversion!$A$2:$B$50,2,0)*Table2[[#This Row],[Freshwater]])</f>
        <v>160</v>
      </c>
      <c r="V73" s="4">
        <f>+VLOOKUP(Table2[[#This Row],[Unit num]]&amp;"/"&amp;Table2[[#This Row],[Unit den]],Conversion!$A$2:$B$50,2,0)*Table2[[#This Row],[Total Water]]</f>
        <v>160</v>
      </c>
      <c r="W73" s="4">
        <v>0</v>
      </c>
      <c r="X73" s="17" t="str">
        <f>+IF(ISBLANK(Table2[[#This Row],[Brine Water]]),"",Table2[[#This Row],[Brine_m3_tonLCE_GradeOnly]]/Table2[[#This Row],[BrineWater_m3_tonLCE]])</f>
        <v/>
      </c>
    </row>
    <row r="74" spans="1:24" x14ac:dyDescent="0.3">
      <c r="A74">
        <v>47</v>
      </c>
      <c r="B74">
        <v>1</v>
      </c>
      <c r="D74" t="s">
        <v>95</v>
      </c>
      <c r="E74" s="6" t="s">
        <v>145</v>
      </c>
      <c r="F74" s="18">
        <v>37614</v>
      </c>
      <c r="G74" s="6" t="s">
        <v>149</v>
      </c>
      <c r="H74" s="5">
        <v>4.0000000000000001E-3</v>
      </c>
      <c r="I74" t="s">
        <v>146</v>
      </c>
      <c r="J74" s="4"/>
      <c r="K74">
        <v>35</v>
      </c>
      <c r="L74">
        <f>+Table2[[#This Row],[Brine Water]]+Table2[[#This Row],[Freshwater]]</f>
        <v>35</v>
      </c>
      <c r="M74" t="s">
        <v>32</v>
      </c>
      <c r="N74" t="s">
        <v>94</v>
      </c>
      <c r="O74" t="s">
        <v>155</v>
      </c>
      <c r="Q74" t="s">
        <v>96</v>
      </c>
      <c r="R74">
        <v>8</v>
      </c>
      <c r="S74" t="str">
        <f>+VLOOKUP(R74,Refs[],2,0)</f>
        <v>Iyer, Kelly &amp; Wang (2026)</v>
      </c>
      <c r="T74" s="4" t="str">
        <f>IF(ISBLANK(Table2[[#This Row],[Brine Water]]),"",+VLOOKUP(Table2[[#This Row],[Unit num]]&amp;"/"&amp;Table2[[#This Row],[Unit den]],Conversion!$A$2:$B$50,2,0)*Table2[[#This Row],[Brine Water]])</f>
        <v/>
      </c>
      <c r="U74" s="4">
        <f>IF(ISBLANK(Table2[[#This Row],[Freshwater]]),"",+VLOOKUP(Table2[[#This Row],[Unit num]]&amp;"/"&amp;Table2[[#This Row],[Unit den]],Conversion!$A$2:$B$50,2,0)*Table2[[#This Row],[Freshwater]])</f>
        <v>39.736603088101724</v>
      </c>
      <c r="V74" s="4">
        <f>+VLOOKUP(Table2[[#This Row],[Unit num]]&amp;"/"&amp;Table2[[#This Row],[Unit den]],Conversion!$A$2:$B$50,2,0)*Table2[[#This Row],[Total Water]]</f>
        <v>39.736603088101724</v>
      </c>
      <c r="W74" s="4">
        <v>0</v>
      </c>
      <c r="X74" s="17" t="str">
        <f>+IF(ISBLANK(Table2[[#This Row],[Brine Water]]),"",Table2[[#This Row],[Brine_m3_tonLCE_GradeOnly]]/Table2[[#This Row],[BrineWater_m3_tonLCE]])</f>
        <v/>
      </c>
    </row>
    <row r="75" spans="1:24" x14ac:dyDescent="0.3">
      <c r="A75">
        <v>59</v>
      </c>
      <c r="B75">
        <v>1</v>
      </c>
      <c r="D75" t="s">
        <v>164</v>
      </c>
      <c r="F75" s="6" t="e">
        <v>#N/A</v>
      </c>
      <c r="G75" t="s">
        <v>149</v>
      </c>
      <c r="H75" s="11">
        <v>1.685E-2</v>
      </c>
      <c r="I75" s="4">
        <v>13</v>
      </c>
      <c r="J75" s="4"/>
      <c r="K75" s="4">
        <f>52.17-45.48</f>
        <v>6.6900000000000048</v>
      </c>
      <c r="L75" s="4">
        <f>+Table2[[#This Row],[Brine Water]]+Table2[[#This Row],[Freshwater]]</f>
        <v>6.6900000000000048</v>
      </c>
      <c r="M75" t="s">
        <v>32</v>
      </c>
      <c r="N75" t="s">
        <v>34</v>
      </c>
      <c r="O75" t="s">
        <v>155</v>
      </c>
      <c r="P75" t="s">
        <v>246</v>
      </c>
      <c r="R75">
        <v>13</v>
      </c>
      <c r="S75" t="str">
        <f>+VLOOKUP(R75,Refs[],2,0)</f>
        <v>Mas-Fons et al. (2024)</v>
      </c>
      <c r="T75" s="4" t="str">
        <f>IF(ISBLANK(Table2[[#This Row],[Brine Water]]),"",+VLOOKUP(Table2[[#This Row],[Unit num]]&amp;"/"&amp;Table2[[#This Row],[Unit den]],Conversion!$A$2:$B$50,2,0)*Table2[[#This Row],[Brine Water]])</f>
        <v/>
      </c>
      <c r="U75" s="4">
        <f>IF(ISBLANK(Table2[[#This Row],[Freshwater]]),"",+VLOOKUP(Table2[[#This Row],[Unit num]]&amp;"/"&amp;Table2[[#This Row],[Unit den]],Conversion!$A$2:$B$50,2,0)*Table2[[#This Row],[Freshwater]])</f>
        <v>6.6900000000000048</v>
      </c>
      <c r="V75" s="4">
        <f>+VLOOKUP(Table2[[#This Row],[Unit num]]&amp;"/"&amp;Table2[[#This Row],[Unit den]],Conversion!$A$2:$B$50,2,0)*Table2[[#This Row],[Total Water]]</f>
        <v>6.6900000000000048</v>
      </c>
      <c r="W75" s="4">
        <v>0</v>
      </c>
      <c r="X75" s="17" t="str">
        <f>+IF(ISBLANK(Table2[[#This Row],[Brine Water]]),"",Table2[[#This Row],[Brine_m3_tonLCE_GradeOnly]]/Table2[[#This Row],[BrineWater_m3_tonLCE]])</f>
        <v/>
      </c>
    </row>
    <row r="76" spans="1:24" x14ac:dyDescent="0.3">
      <c r="A76">
        <v>60</v>
      </c>
      <c r="B76">
        <v>1</v>
      </c>
      <c r="D76" t="s">
        <v>165</v>
      </c>
      <c r="F76" s="6" t="e">
        <v>#N/A</v>
      </c>
      <c r="G76" t="s">
        <v>149</v>
      </c>
      <c r="H76" s="11">
        <v>7.6049999999999998E-3</v>
      </c>
      <c r="I76" s="4">
        <v>13</v>
      </c>
      <c r="J76" s="4"/>
      <c r="K76" s="4">
        <f>85.11-73.98</f>
        <v>11.129999999999995</v>
      </c>
      <c r="L76" s="4">
        <f>+Table2[[#This Row],[Brine Water]]+Table2[[#This Row],[Freshwater]]</f>
        <v>11.129999999999995</v>
      </c>
      <c r="M76" t="s">
        <v>32</v>
      </c>
      <c r="N76" t="s">
        <v>34</v>
      </c>
      <c r="O76" t="s">
        <v>155</v>
      </c>
      <c r="P76" t="s">
        <v>246</v>
      </c>
      <c r="R76">
        <v>13</v>
      </c>
      <c r="S76" t="str">
        <f>+VLOOKUP(R76,Refs[],2,0)</f>
        <v>Mas-Fons et al. (2024)</v>
      </c>
      <c r="T76" s="4" t="str">
        <f>IF(ISBLANK(Table2[[#This Row],[Brine Water]]),"",+VLOOKUP(Table2[[#This Row],[Unit num]]&amp;"/"&amp;Table2[[#This Row],[Unit den]],Conversion!$A$2:$B$50,2,0)*Table2[[#This Row],[Brine Water]])</f>
        <v/>
      </c>
      <c r="U76" s="4">
        <f>IF(ISBLANK(Table2[[#This Row],[Freshwater]]),"",+VLOOKUP(Table2[[#This Row],[Unit num]]&amp;"/"&amp;Table2[[#This Row],[Unit den]],Conversion!$A$2:$B$50,2,0)*Table2[[#This Row],[Freshwater]])</f>
        <v>11.129999999999995</v>
      </c>
      <c r="V76" s="4">
        <f>+VLOOKUP(Table2[[#This Row],[Unit num]]&amp;"/"&amp;Table2[[#This Row],[Unit den]],Conversion!$A$2:$B$50,2,0)*Table2[[#This Row],[Total Water]]</f>
        <v>11.129999999999995</v>
      </c>
      <c r="W76" s="4">
        <v>0</v>
      </c>
      <c r="X76" s="17" t="str">
        <f>+IF(ISBLANK(Table2[[#This Row],[Brine Water]]),"",Table2[[#This Row],[Brine_m3_tonLCE_GradeOnly]]/Table2[[#This Row],[BrineWater_m3_tonLCE]])</f>
        <v/>
      </c>
    </row>
    <row r="77" spans="1:24" x14ac:dyDescent="0.3">
      <c r="A77">
        <v>61</v>
      </c>
      <c r="B77">
        <v>1</v>
      </c>
      <c r="D77" t="s">
        <v>166</v>
      </c>
      <c r="F77" s="6" t="e">
        <v>#N/A</v>
      </c>
      <c r="G77" t="s">
        <v>149</v>
      </c>
      <c r="H77" s="11">
        <v>3.0079999999999998E-3</v>
      </c>
      <c r="I77" s="4">
        <v>13</v>
      </c>
      <c r="J77" s="4"/>
      <c r="K77" s="4">
        <f>215.58-191.56</f>
        <v>24.02000000000001</v>
      </c>
      <c r="L77" s="4">
        <f>+Table2[[#This Row],[Brine Water]]+Table2[[#This Row],[Freshwater]]</f>
        <v>24.02000000000001</v>
      </c>
      <c r="M77" t="s">
        <v>32</v>
      </c>
      <c r="N77" t="s">
        <v>34</v>
      </c>
      <c r="O77" t="s">
        <v>155</v>
      </c>
      <c r="P77" t="s">
        <v>246</v>
      </c>
      <c r="R77">
        <v>13</v>
      </c>
      <c r="S77" t="str">
        <f>+VLOOKUP(R77,Refs[],2,0)</f>
        <v>Mas-Fons et al. (2024)</v>
      </c>
      <c r="T77" s="4" t="str">
        <f>IF(ISBLANK(Table2[[#This Row],[Brine Water]]),"",+VLOOKUP(Table2[[#This Row],[Unit num]]&amp;"/"&amp;Table2[[#This Row],[Unit den]],Conversion!$A$2:$B$50,2,0)*Table2[[#This Row],[Brine Water]])</f>
        <v/>
      </c>
      <c r="U77" s="4">
        <f>IF(ISBLANK(Table2[[#This Row],[Freshwater]]),"",+VLOOKUP(Table2[[#This Row],[Unit num]]&amp;"/"&amp;Table2[[#This Row],[Unit den]],Conversion!$A$2:$B$50,2,0)*Table2[[#This Row],[Freshwater]])</f>
        <v>24.02000000000001</v>
      </c>
      <c r="V77" s="4">
        <f>+VLOOKUP(Table2[[#This Row],[Unit num]]&amp;"/"&amp;Table2[[#This Row],[Unit den]],Conversion!$A$2:$B$50,2,0)*Table2[[#This Row],[Total Water]]</f>
        <v>24.02000000000001</v>
      </c>
      <c r="W77" s="4">
        <v>0</v>
      </c>
      <c r="X77" s="17" t="str">
        <f>+IF(ISBLANK(Table2[[#This Row],[Brine Water]]),"",Table2[[#This Row],[Brine_m3_tonLCE_GradeOnly]]/Table2[[#This Row],[BrineWater_m3_tonLCE]])</f>
        <v/>
      </c>
    </row>
    <row r="78" spans="1:24" x14ac:dyDescent="0.3">
      <c r="A78">
        <v>65</v>
      </c>
      <c r="B78">
        <v>1</v>
      </c>
      <c r="D78" t="s">
        <v>76</v>
      </c>
      <c r="E78" t="s">
        <v>76</v>
      </c>
      <c r="F78">
        <v>37326</v>
      </c>
      <c r="G78" t="s">
        <v>149</v>
      </c>
      <c r="H78" s="5">
        <f>2*0.464/100</f>
        <v>9.2800000000000001E-3</v>
      </c>
      <c r="I78" t="s">
        <v>146</v>
      </c>
      <c r="J78" s="4"/>
      <c r="K78" s="4">
        <v>61</v>
      </c>
      <c r="L78" s="4">
        <f>+Table2[[#This Row],[Brine Water]]+Table2[[#This Row],[Freshwater]]</f>
        <v>61</v>
      </c>
      <c r="M78" t="s">
        <v>65</v>
      </c>
      <c r="N78" t="s">
        <v>175</v>
      </c>
      <c r="O78" t="s">
        <v>155</v>
      </c>
      <c r="P78" t="s">
        <v>177</v>
      </c>
      <c r="R78">
        <v>14</v>
      </c>
      <c r="S78" t="str">
        <f>+VLOOKUP(R78,Refs[],2,0)</f>
        <v>Sun et al. (2024)</v>
      </c>
      <c r="T78" s="4" t="str">
        <f>IF(ISBLANK(Table2[[#This Row],[Brine Water]]),"",+VLOOKUP(Table2[[#This Row],[Unit num]]&amp;"/"&amp;Table2[[#This Row],[Unit den]],Conversion!$A$2:$B$50,2,0)*Table2[[#This Row],[Brine Water]])</f>
        <v/>
      </c>
      <c r="U78" s="4">
        <f>IF(ISBLANK(Table2[[#This Row],[Freshwater]]),"",+VLOOKUP(Table2[[#This Row],[Unit num]]&amp;"/"&amp;Table2[[#This Row],[Unit den]],Conversion!$A$2:$B$50,2,0)*Table2[[#This Row],[Freshwater]])</f>
        <v>11.459703174901371</v>
      </c>
      <c r="V78" s="4">
        <f>+VLOOKUP(Table2[[#This Row],[Unit num]]&amp;"/"&amp;Table2[[#This Row],[Unit den]],Conversion!$A$2:$B$50,2,0)*Table2[[#This Row],[Total Water]]</f>
        <v>11.459703174901371</v>
      </c>
      <c r="W78" s="4">
        <v>0</v>
      </c>
      <c r="X78" s="17" t="str">
        <f>+IF(ISBLANK(Table2[[#This Row],[Brine Water]]),"",Table2[[#This Row],[Brine_m3_tonLCE_GradeOnly]]/Table2[[#This Row],[BrineWater_m3_tonLCE]])</f>
        <v/>
      </c>
    </row>
    <row r="79" spans="1:24" x14ac:dyDescent="0.3">
      <c r="A79">
        <v>66</v>
      </c>
      <c r="B79">
        <v>1</v>
      </c>
      <c r="D79" t="s">
        <v>78</v>
      </c>
      <c r="E79" t="s">
        <v>141</v>
      </c>
      <c r="F79" s="18">
        <v>37174</v>
      </c>
      <c r="G79" t="s">
        <v>149</v>
      </c>
      <c r="H79" s="5">
        <f>1.37*0.464/100</f>
        <v>6.356800000000001E-3</v>
      </c>
      <c r="I79" t="s">
        <v>146</v>
      </c>
      <c r="J79" s="4"/>
      <c r="K79" s="4">
        <v>61</v>
      </c>
      <c r="L79" s="4">
        <f>+Table2[[#This Row],[Brine Water]]+Table2[[#This Row],[Freshwater]]</f>
        <v>61</v>
      </c>
      <c r="M79" t="s">
        <v>65</v>
      </c>
      <c r="N79" t="s">
        <v>175</v>
      </c>
      <c r="O79" t="s">
        <v>155</v>
      </c>
      <c r="P79" t="s">
        <v>177</v>
      </c>
      <c r="R79">
        <v>14</v>
      </c>
      <c r="S79" t="str">
        <f>+VLOOKUP(R79,Refs[],2,0)</f>
        <v>Sun et al. (2024)</v>
      </c>
      <c r="T79" s="4" t="str">
        <f>IF(ISBLANK(Table2[[#This Row],[Brine Water]]),"",+VLOOKUP(Table2[[#This Row],[Unit num]]&amp;"/"&amp;Table2[[#This Row],[Unit den]],Conversion!$A$2:$B$50,2,0)*Table2[[#This Row],[Brine Water]])</f>
        <v/>
      </c>
      <c r="U79" s="4">
        <f>IF(ISBLANK(Table2[[#This Row],[Freshwater]]),"",+VLOOKUP(Table2[[#This Row],[Unit num]]&amp;"/"&amp;Table2[[#This Row],[Unit den]],Conversion!$A$2:$B$50,2,0)*Table2[[#This Row],[Freshwater]])</f>
        <v>11.459703174901371</v>
      </c>
      <c r="V79" s="4">
        <f>+VLOOKUP(Table2[[#This Row],[Unit num]]&amp;"/"&amp;Table2[[#This Row],[Unit den]],Conversion!$A$2:$B$50,2,0)*Table2[[#This Row],[Total Water]]</f>
        <v>11.459703174901371</v>
      </c>
      <c r="W79" s="4">
        <v>0</v>
      </c>
      <c r="X79" s="17" t="str">
        <f>+IF(ISBLANK(Table2[[#This Row],[Brine Water]]),"",Table2[[#This Row],[Brine_m3_tonLCE_GradeOnly]]/Table2[[#This Row],[BrineWater_m3_tonLCE]])</f>
        <v/>
      </c>
    </row>
    <row r="80" spans="1:24" x14ac:dyDescent="0.3">
      <c r="A80">
        <v>67</v>
      </c>
      <c r="B80">
        <v>1</v>
      </c>
      <c r="D80" t="s">
        <v>142</v>
      </c>
      <c r="E80" t="s">
        <v>142</v>
      </c>
      <c r="F80">
        <v>78512</v>
      </c>
      <c r="G80" t="s">
        <v>149</v>
      </c>
      <c r="H80" s="5">
        <f>1.17*0.464/100</f>
        <v>5.4288000000000001E-3</v>
      </c>
      <c r="I80" t="s">
        <v>146</v>
      </c>
      <c r="J80" s="4"/>
      <c r="K80" s="4">
        <v>61</v>
      </c>
      <c r="L80" s="4">
        <f>+Table2[[#This Row],[Brine Water]]+Table2[[#This Row],[Freshwater]]</f>
        <v>61</v>
      </c>
      <c r="M80" t="s">
        <v>65</v>
      </c>
      <c r="N80" t="s">
        <v>175</v>
      </c>
      <c r="O80" t="s">
        <v>155</v>
      </c>
      <c r="P80" t="s">
        <v>177</v>
      </c>
      <c r="R80">
        <v>14</v>
      </c>
      <c r="S80" t="str">
        <f>+VLOOKUP(R80,Refs[],2,0)</f>
        <v>Sun et al. (2024)</v>
      </c>
      <c r="T80" s="4" t="str">
        <f>IF(ISBLANK(Table2[[#This Row],[Brine Water]]),"",+VLOOKUP(Table2[[#This Row],[Unit num]]&amp;"/"&amp;Table2[[#This Row],[Unit den]],Conversion!$A$2:$B$50,2,0)*Table2[[#This Row],[Brine Water]])</f>
        <v/>
      </c>
      <c r="U80" s="4">
        <f>IF(ISBLANK(Table2[[#This Row],[Freshwater]]),"",+VLOOKUP(Table2[[#This Row],[Unit num]]&amp;"/"&amp;Table2[[#This Row],[Unit den]],Conversion!$A$2:$B$50,2,0)*Table2[[#This Row],[Freshwater]])</f>
        <v>11.459703174901371</v>
      </c>
      <c r="V80" s="4">
        <f>+VLOOKUP(Table2[[#This Row],[Unit num]]&amp;"/"&amp;Table2[[#This Row],[Unit den]],Conversion!$A$2:$B$50,2,0)*Table2[[#This Row],[Total Water]]</f>
        <v>11.459703174901371</v>
      </c>
      <c r="W80" s="4">
        <v>0</v>
      </c>
      <c r="X80" s="17" t="str">
        <f>+IF(ISBLANK(Table2[[#This Row],[Brine Water]]),"",Table2[[#This Row],[Brine_m3_tonLCE_GradeOnly]]/Table2[[#This Row],[BrineWater_m3_tonLCE]])</f>
        <v/>
      </c>
    </row>
    <row r="81" spans="1:24" x14ac:dyDescent="0.3">
      <c r="A81">
        <v>68</v>
      </c>
      <c r="B81">
        <v>1</v>
      </c>
      <c r="D81" t="s">
        <v>77</v>
      </c>
      <c r="E81" t="s">
        <v>140</v>
      </c>
      <c r="F81" s="6">
        <v>30688</v>
      </c>
      <c r="G81" t="s">
        <v>149</v>
      </c>
      <c r="H81" s="5">
        <f>1.2*0.464/100</f>
        <v>5.568E-3</v>
      </c>
      <c r="I81" t="s">
        <v>146</v>
      </c>
      <c r="J81" s="4"/>
      <c r="K81" s="4">
        <v>61</v>
      </c>
      <c r="L81" s="4">
        <f>+Table2[[#This Row],[Brine Water]]+Table2[[#This Row],[Freshwater]]</f>
        <v>61</v>
      </c>
      <c r="M81" t="s">
        <v>65</v>
      </c>
      <c r="N81" t="s">
        <v>175</v>
      </c>
      <c r="O81" t="s">
        <v>155</v>
      </c>
      <c r="P81" t="s">
        <v>177</v>
      </c>
      <c r="R81">
        <v>14</v>
      </c>
      <c r="S81" t="str">
        <f>+VLOOKUP(R81,Refs[],2,0)</f>
        <v>Sun et al. (2024)</v>
      </c>
      <c r="T81" s="4" t="str">
        <f>IF(ISBLANK(Table2[[#This Row],[Brine Water]]),"",+VLOOKUP(Table2[[#This Row],[Unit num]]&amp;"/"&amp;Table2[[#This Row],[Unit den]],Conversion!$A$2:$B$50,2,0)*Table2[[#This Row],[Brine Water]])</f>
        <v/>
      </c>
      <c r="U81" s="4">
        <f>IF(ISBLANK(Table2[[#This Row],[Freshwater]]),"",+VLOOKUP(Table2[[#This Row],[Unit num]]&amp;"/"&amp;Table2[[#This Row],[Unit den]],Conversion!$A$2:$B$50,2,0)*Table2[[#This Row],[Freshwater]])</f>
        <v>11.459703174901371</v>
      </c>
      <c r="V81" s="4">
        <f>+VLOOKUP(Table2[[#This Row],[Unit num]]&amp;"/"&amp;Table2[[#This Row],[Unit den]],Conversion!$A$2:$B$50,2,0)*Table2[[#This Row],[Total Water]]</f>
        <v>11.459703174901371</v>
      </c>
      <c r="W81" s="4">
        <v>0</v>
      </c>
      <c r="X81" s="17" t="str">
        <f>+IF(ISBLANK(Table2[[#This Row],[Brine Water]]),"",Table2[[#This Row],[Brine_m3_tonLCE_GradeOnly]]/Table2[[#This Row],[BrineWater_m3_tonLCE]])</f>
        <v/>
      </c>
    </row>
    <row r="82" spans="1:24" x14ac:dyDescent="0.3">
      <c r="A82">
        <v>69</v>
      </c>
      <c r="B82">
        <v>1</v>
      </c>
      <c r="D82" t="s">
        <v>80</v>
      </c>
      <c r="E82" t="s">
        <v>80</v>
      </c>
      <c r="F82">
        <v>51956</v>
      </c>
      <c r="G82" t="s">
        <v>149</v>
      </c>
      <c r="H82" s="5">
        <f>1.19*0.464/100</f>
        <v>5.5215999999999998E-3</v>
      </c>
      <c r="I82" t="s">
        <v>146</v>
      </c>
      <c r="J82" s="4"/>
      <c r="K82" s="4">
        <v>61</v>
      </c>
      <c r="L82" s="4">
        <f>+Table2[[#This Row],[Brine Water]]+Table2[[#This Row],[Freshwater]]</f>
        <v>61</v>
      </c>
      <c r="M82" t="s">
        <v>65</v>
      </c>
      <c r="N82" t="s">
        <v>175</v>
      </c>
      <c r="O82" t="s">
        <v>155</v>
      </c>
      <c r="P82" t="s">
        <v>177</v>
      </c>
      <c r="R82">
        <v>14</v>
      </c>
      <c r="S82" t="str">
        <f>+VLOOKUP(R82,Refs[],2,0)</f>
        <v>Sun et al. (2024)</v>
      </c>
      <c r="T82" s="4" t="str">
        <f>IF(ISBLANK(Table2[[#This Row],[Brine Water]]),"",+VLOOKUP(Table2[[#This Row],[Unit num]]&amp;"/"&amp;Table2[[#This Row],[Unit den]],Conversion!$A$2:$B$50,2,0)*Table2[[#This Row],[Brine Water]])</f>
        <v/>
      </c>
      <c r="U82" s="4">
        <f>IF(ISBLANK(Table2[[#This Row],[Freshwater]]),"",+VLOOKUP(Table2[[#This Row],[Unit num]]&amp;"/"&amp;Table2[[#This Row],[Unit den]],Conversion!$A$2:$B$50,2,0)*Table2[[#This Row],[Freshwater]])</f>
        <v>11.459703174901371</v>
      </c>
      <c r="V82" s="4">
        <f>+VLOOKUP(Table2[[#This Row],[Unit num]]&amp;"/"&amp;Table2[[#This Row],[Unit den]],Conversion!$A$2:$B$50,2,0)*Table2[[#This Row],[Total Water]]</f>
        <v>11.459703174901371</v>
      </c>
      <c r="W82" s="4">
        <v>0</v>
      </c>
      <c r="X82" s="17" t="str">
        <f>+IF(ISBLANK(Table2[[#This Row],[Brine Water]]),"",Table2[[#This Row],[Brine_m3_tonLCE_GradeOnly]]/Table2[[#This Row],[BrineWater_m3_tonLCE]])</f>
        <v/>
      </c>
    </row>
    <row r="83" spans="1:24" x14ac:dyDescent="0.3">
      <c r="A83">
        <v>70</v>
      </c>
      <c r="B83">
        <v>1</v>
      </c>
      <c r="D83" t="s">
        <v>179</v>
      </c>
      <c r="E83" s="6" t="s">
        <v>179</v>
      </c>
      <c r="F83" s="6">
        <v>32119</v>
      </c>
      <c r="G83" t="s">
        <v>149</v>
      </c>
      <c r="H83" s="5">
        <f>1.01*0.464/100</f>
        <v>4.6864000000000003E-3</v>
      </c>
      <c r="I83" t="s">
        <v>146</v>
      </c>
      <c r="J83" s="4"/>
      <c r="K83" s="4">
        <v>61</v>
      </c>
      <c r="L83" s="4">
        <f>+Table2[[#This Row],[Brine Water]]+Table2[[#This Row],[Freshwater]]</f>
        <v>61</v>
      </c>
      <c r="M83" t="s">
        <v>65</v>
      </c>
      <c r="N83" t="s">
        <v>175</v>
      </c>
      <c r="O83" t="s">
        <v>155</v>
      </c>
      <c r="P83" t="s">
        <v>177</v>
      </c>
      <c r="R83">
        <v>14</v>
      </c>
      <c r="S83" t="str">
        <f>+VLOOKUP(R83,Refs[],2,0)</f>
        <v>Sun et al. (2024)</v>
      </c>
      <c r="T83" s="4" t="str">
        <f>IF(ISBLANK(Table2[[#This Row],[Brine Water]]),"",+VLOOKUP(Table2[[#This Row],[Unit num]]&amp;"/"&amp;Table2[[#This Row],[Unit den]],Conversion!$A$2:$B$50,2,0)*Table2[[#This Row],[Brine Water]])</f>
        <v/>
      </c>
      <c r="U83" s="4">
        <f>IF(ISBLANK(Table2[[#This Row],[Freshwater]]),"",+VLOOKUP(Table2[[#This Row],[Unit num]]&amp;"/"&amp;Table2[[#This Row],[Unit den]],Conversion!$A$2:$B$50,2,0)*Table2[[#This Row],[Freshwater]])</f>
        <v>11.459703174901371</v>
      </c>
      <c r="V83" s="4">
        <f>+VLOOKUP(Table2[[#This Row],[Unit num]]&amp;"/"&amp;Table2[[#This Row],[Unit den]],Conversion!$A$2:$B$50,2,0)*Table2[[#This Row],[Total Water]]</f>
        <v>11.459703174901371</v>
      </c>
      <c r="W83" s="4">
        <v>0</v>
      </c>
      <c r="X83" s="17" t="str">
        <f>+IF(ISBLANK(Table2[[#This Row],[Brine Water]]),"",Table2[[#This Row],[Brine_m3_tonLCE_GradeOnly]]/Table2[[#This Row],[BrineWater_m3_tonLCE]])</f>
        <v/>
      </c>
    </row>
    <row r="84" spans="1:24" x14ac:dyDescent="0.3">
      <c r="A84">
        <v>76</v>
      </c>
      <c r="B84">
        <v>1</v>
      </c>
      <c r="D84" t="s">
        <v>183</v>
      </c>
      <c r="E84" s="6" t="s">
        <v>228</v>
      </c>
      <c r="F84" s="18">
        <v>37507</v>
      </c>
      <c r="G84" t="s">
        <v>149</v>
      </c>
      <c r="H84" s="5">
        <f>1.3*0.464/100</f>
        <v>6.0320000000000009E-3</v>
      </c>
      <c r="I84" t="s">
        <v>146</v>
      </c>
      <c r="J84" s="4"/>
      <c r="K84" s="4">
        <v>54</v>
      </c>
      <c r="L84" s="4">
        <f>+Table2[[#This Row],[Brine Water]]+Table2[[#This Row],[Freshwater]]</f>
        <v>54</v>
      </c>
      <c r="M84" t="s">
        <v>65</v>
      </c>
      <c r="N84" t="s">
        <v>175</v>
      </c>
      <c r="O84" t="s">
        <v>155</v>
      </c>
      <c r="P84" t="s">
        <v>177</v>
      </c>
      <c r="Q84" t="s">
        <v>191</v>
      </c>
      <c r="R84">
        <v>14</v>
      </c>
      <c r="S84" t="str">
        <f>+VLOOKUP(R84,Refs[],2,0)</f>
        <v>Sun et al. (2024)</v>
      </c>
      <c r="T84" s="4" t="str">
        <f>IF(ISBLANK(Table2[[#This Row],[Brine Water]]),"",+VLOOKUP(Table2[[#This Row],[Unit num]]&amp;"/"&amp;Table2[[#This Row],[Unit den]],Conversion!$A$2:$B$50,2,0)*Table2[[#This Row],[Brine Water]])</f>
        <v/>
      </c>
      <c r="U84" s="4">
        <f>IF(ISBLANK(Table2[[#This Row],[Freshwater]]),"",+VLOOKUP(Table2[[#This Row],[Unit num]]&amp;"/"&amp;Table2[[#This Row],[Unit den]],Conversion!$A$2:$B$50,2,0)*Table2[[#This Row],[Freshwater]])</f>
        <v>10.14465526958482</v>
      </c>
      <c r="V84" s="4">
        <f>+VLOOKUP(Table2[[#This Row],[Unit num]]&amp;"/"&amp;Table2[[#This Row],[Unit den]],Conversion!$A$2:$B$50,2,0)*Table2[[#This Row],[Total Water]]</f>
        <v>10.14465526958482</v>
      </c>
      <c r="W84" s="4">
        <v>0</v>
      </c>
      <c r="X84" s="17" t="str">
        <f>+IF(ISBLANK(Table2[[#This Row],[Brine Water]]),"",Table2[[#This Row],[Brine_m3_tonLCE_GradeOnly]]/Table2[[#This Row],[BrineWater_m3_tonLCE]])</f>
        <v/>
      </c>
    </row>
    <row r="85" spans="1:24" x14ac:dyDescent="0.3">
      <c r="A85">
        <v>77</v>
      </c>
      <c r="B85">
        <v>1</v>
      </c>
      <c r="C85" t="s">
        <v>187</v>
      </c>
      <c r="D85" t="s">
        <v>184</v>
      </c>
      <c r="E85" s="6" t="s">
        <v>189</v>
      </c>
      <c r="F85" s="6">
        <v>82881</v>
      </c>
      <c r="G85" t="s">
        <v>149</v>
      </c>
      <c r="H85" s="5">
        <f>1.45*0.464/100</f>
        <v>6.7280000000000005E-3</v>
      </c>
      <c r="I85">
        <v>14</v>
      </c>
      <c r="J85" s="4"/>
      <c r="K85" s="4">
        <v>79</v>
      </c>
      <c r="L85" s="4">
        <f>+Table2[[#This Row],[Brine Water]]+Table2[[#This Row],[Freshwater]]</f>
        <v>79</v>
      </c>
      <c r="M85" t="s">
        <v>65</v>
      </c>
      <c r="N85" t="s">
        <v>175</v>
      </c>
      <c r="O85" t="s">
        <v>155</v>
      </c>
      <c r="P85" t="s">
        <v>177</v>
      </c>
      <c r="Q85" t="s">
        <v>187</v>
      </c>
      <c r="R85">
        <v>14</v>
      </c>
      <c r="S85" t="str">
        <f>+VLOOKUP(R85,Refs[],2,0)</f>
        <v>Sun et al. (2024)</v>
      </c>
      <c r="T85" s="4" t="str">
        <f>IF(ISBLANK(Table2[[#This Row],[Brine Water]]),"",+VLOOKUP(Table2[[#This Row],[Unit num]]&amp;"/"&amp;Table2[[#This Row],[Unit den]],Conversion!$A$2:$B$50,2,0)*Table2[[#This Row],[Brine Water]])</f>
        <v/>
      </c>
      <c r="U85" s="4">
        <f>IF(ISBLANK(Table2[[#This Row],[Freshwater]]),"",+VLOOKUP(Table2[[#This Row],[Unit num]]&amp;"/"&amp;Table2[[#This Row],[Unit den]],Conversion!$A$2:$B$50,2,0)*Table2[[#This Row],[Freshwater]])</f>
        <v>14.841254931429644</v>
      </c>
      <c r="V85" s="4">
        <f>+VLOOKUP(Table2[[#This Row],[Unit num]]&amp;"/"&amp;Table2[[#This Row],[Unit den]],Conversion!$A$2:$B$50,2,0)*Table2[[#This Row],[Total Water]]</f>
        <v>14.841254931429644</v>
      </c>
      <c r="W85" s="4">
        <v>0</v>
      </c>
      <c r="X85" s="17" t="str">
        <f>+IF(ISBLANK(Table2[[#This Row],[Brine Water]]),"",Table2[[#This Row],[Brine_m3_tonLCE_GradeOnly]]/Table2[[#This Row],[BrineWater_m3_tonLCE]])</f>
        <v/>
      </c>
    </row>
    <row r="86" spans="1:24" x14ac:dyDescent="0.3">
      <c r="A86">
        <v>78</v>
      </c>
      <c r="B86">
        <v>1</v>
      </c>
      <c r="C86" t="s">
        <v>187</v>
      </c>
      <c r="D86" t="s">
        <v>185</v>
      </c>
      <c r="E86" s="6" t="s">
        <v>190</v>
      </c>
      <c r="F86" s="18">
        <v>78963</v>
      </c>
      <c r="G86" t="s">
        <v>149</v>
      </c>
      <c r="H86" s="5">
        <f>1.04*0.464/100</f>
        <v>4.8256000000000002E-3</v>
      </c>
      <c r="I86">
        <v>14</v>
      </c>
      <c r="J86" s="4"/>
      <c r="K86" s="4">
        <v>164</v>
      </c>
      <c r="L86" s="4">
        <f>+Table2[[#This Row],[Brine Water]]+Table2[[#This Row],[Freshwater]]</f>
        <v>164</v>
      </c>
      <c r="M86" t="s">
        <v>65</v>
      </c>
      <c r="N86" t="s">
        <v>175</v>
      </c>
      <c r="O86" t="s">
        <v>155</v>
      </c>
      <c r="P86" t="s">
        <v>177</v>
      </c>
      <c r="Q86" t="s">
        <v>187</v>
      </c>
      <c r="R86">
        <v>14</v>
      </c>
      <c r="S86" t="str">
        <f>+VLOOKUP(R86,Refs[],2,0)</f>
        <v>Sun et al. (2024)</v>
      </c>
      <c r="T86" s="4" t="str">
        <f>IF(ISBLANK(Table2[[#This Row],[Brine Water]]),"",+VLOOKUP(Table2[[#This Row],[Unit num]]&amp;"/"&amp;Table2[[#This Row],[Unit den]],Conversion!$A$2:$B$50,2,0)*Table2[[#This Row],[Brine Water]])</f>
        <v/>
      </c>
      <c r="U86" s="4">
        <f>IF(ISBLANK(Table2[[#This Row],[Freshwater]]),"",+VLOOKUP(Table2[[#This Row],[Unit num]]&amp;"/"&amp;Table2[[#This Row],[Unit den]],Conversion!$A$2:$B$50,2,0)*Table2[[#This Row],[Freshwater]])</f>
        <v>30.809693781702045</v>
      </c>
      <c r="V86" s="4">
        <f>+VLOOKUP(Table2[[#This Row],[Unit num]]&amp;"/"&amp;Table2[[#This Row],[Unit den]],Conversion!$A$2:$B$50,2,0)*Table2[[#This Row],[Total Water]]</f>
        <v>30.809693781702045</v>
      </c>
      <c r="W86" s="4">
        <v>0</v>
      </c>
      <c r="X86" s="17" t="str">
        <f>+IF(ISBLANK(Table2[[#This Row],[Brine Water]]),"",Table2[[#This Row],[Brine_m3_tonLCE_GradeOnly]]/Table2[[#This Row],[BrineWater_m3_tonLCE]])</f>
        <v/>
      </c>
    </row>
    <row r="87" spans="1:24" x14ac:dyDescent="0.3">
      <c r="A87">
        <v>79</v>
      </c>
      <c r="B87">
        <v>1</v>
      </c>
      <c r="D87" t="s">
        <v>186</v>
      </c>
      <c r="E87" s="6" t="s">
        <v>186</v>
      </c>
      <c r="F87" s="6">
        <v>77458</v>
      </c>
      <c r="G87" t="s">
        <v>149</v>
      </c>
      <c r="H87" s="5">
        <f>1.19*0.464/100</f>
        <v>5.5215999999999998E-3</v>
      </c>
      <c r="I87">
        <v>14</v>
      </c>
      <c r="J87" s="4"/>
      <c r="K87" s="4">
        <v>133</v>
      </c>
      <c r="L87" s="4">
        <f>+Table2[[#This Row],[Brine Water]]+Table2[[#This Row],[Freshwater]]</f>
        <v>133</v>
      </c>
      <c r="M87" t="s">
        <v>65</v>
      </c>
      <c r="N87" t="s">
        <v>175</v>
      </c>
      <c r="O87" t="s">
        <v>155</v>
      </c>
      <c r="P87" t="s">
        <v>177</v>
      </c>
      <c r="Q87" t="s">
        <v>187</v>
      </c>
      <c r="R87">
        <v>14</v>
      </c>
      <c r="S87" t="str">
        <f>+VLOOKUP(R87,Refs[],2,0)</f>
        <v>Sun et al. (2024)</v>
      </c>
      <c r="T87" s="4" t="str">
        <f>IF(ISBLANK(Table2[[#This Row],[Brine Water]]),"",+VLOOKUP(Table2[[#This Row],[Unit num]]&amp;"/"&amp;Table2[[#This Row],[Unit den]],Conversion!$A$2:$B$50,2,0)*Table2[[#This Row],[Brine Water]])</f>
        <v/>
      </c>
      <c r="U87" s="4">
        <f>IF(ISBLANK(Table2[[#This Row],[Freshwater]]),"",+VLOOKUP(Table2[[#This Row],[Unit num]]&amp;"/"&amp;Table2[[#This Row],[Unit den]],Conversion!$A$2:$B$50,2,0)*Table2[[#This Row],[Freshwater]])</f>
        <v>24.985910201014462</v>
      </c>
      <c r="V87" s="4">
        <f>+VLOOKUP(Table2[[#This Row],[Unit num]]&amp;"/"&amp;Table2[[#This Row],[Unit den]],Conversion!$A$2:$B$50,2,0)*Table2[[#This Row],[Total Water]]</f>
        <v>24.985910201014462</v>
      </c>
      <c r="W87" s="4">
        <v>0</v>
      </c>
      <c r="X87" s="17" t="str">
        <f>+IF(ISBLANK(Table2[[#This Row],[Brine Water]]),"",Table2[[#This Row],[Brine_m3_tonLCE_GradeOnly]]/Table2[[#This Row],[BrineWater_m3_tonLCE]])</f>
        <v/>
      </c>
    </row>
    <row r="88" spans="1:24" hidden="1" x14ac:dyDescent="0.3">
      <c r="A88">
        <v>84</v>
      </c>
      <c r="B88">
        <v>0</v>
      </c>
      <c r="C88" t="s">
        <v>204</v>
      </c>
      <c r="D88" t="s">
        <v>199</v>
      </c>
      <c r="F88" s="6" t="e">
        <v>#N/A</v>
      </c>
      <c r="G88" t="s">
        <v>149</v>
      </c>
      <c r="H88" s="5"/>
      <c r="J88" s="4"/>
      <c r="K88" s="4">
        <v>62</v>
      </c>
      <c r="L88" s="4">
        <f>+Table2[[#This Row],[Brine Water]]+Table2[[#This Row],[Freshwater]]</f>
        <v>62</v>
      </c>
      <c r="M88" t="s">
        <v>200</v>
      </c>
      <c r="N88" t="s">
        <v>53</v>
      </c>
      <c r="O88" t="s">
        <v>155</v>
      </c>
      <c r="P88" t="s">
        <v>177</v>
      </c>
      <c r="R88">
        <v>15</v>
      </c>
      <c r="S88" t="str">
        <f>+VLOOKUP(R88,Refs[],2,0)</f>
        <v>Orquera et al. (2026)</v>
      </c>
      <c r="T88" s="4" t="str">
        <f>IF(ISBLANK(Table2[[#This Row],[Brine Water]]),"",+VLOOKUP(Table2[[#This Row],[Unit num]]&amp;"/"&amp;Table2[[#This Row],[Unit den]],Conversion!$A$2:$B$50,2,0)*Table2[[#This Row],[Brine Water]])</f>
        <v/>
      </c>
      <c r="U88" s="4">
        <f>IF(ISBLANK(Table2[[#This Row],[Freshwater]]),"",+VLOOKUP(Table2[[#This Row],[Unit num]]&amp;"/"&amp;Table2[[#This Row],[Unit den]],Conversion!$A$2:$B$50,2,0)*Table2[[#This Row],[Freshwater]])</f>
        <v>62</v>
      </c>
      <c r="V88" s="4">
        <f>+VLOOKUP(Table2[[#This Row],[Unit num]]&amp;"/"&amp;Table2[[#This Row],[Unit den]],Conversion!$A$2:$B$50,2,0)*Table2[[#This Row],[Total Water]]</f>
        <v>62</v>
      </c>
      <c r="W88" s="4" t="str">
        <f>IF(ISNUMBER(FIND("Brine",Table2[[#This Row],[Type]])),1/Table2[[#This Row],[Grade ore Li%]]/5.323,"")</f>
        <v/>
      </c>
      <c r="X88" s="17" t="str">
        <f>+IF(ISBLANK(Table2[[#This Row],[Brine Water]]),"",Table2[[#This Row],[Brine_m3_tonLCE_GradeOnly]]/Table2[[#This Row],[BrineWater_m3_tonLCE]])</f>
        <v/>
      </c>
    </row>
    <row r="89" spans="1:24" hidden="1" x14ac:dyDescent="0.3">
      <c r="A89">
        <v>43</v>
      </c>
      <c r="B89">
        <v>0</v>
      </c>
      <c r="C89" t="s">
        <v>226</v>
      </c>
      <c r="D89" t="s">
        <v>87</v>
      </c>
      <c r="E89" t="s">
        <v>87</v>
      </c>
      <c r="F89">
        <v>36750</v>
      </c>
      <c r="G89" t="s">
        <v>150</v>
      </c>
      <c r="H89" s="10">
        <f>3160/1000000</f>
        <v>3.16E-3</v>
      </c>
      <c r="I89" t="s">
        <v>146</v>
      </c>
      <c r="J89" s="4"/>
      <c r="K89">
        <v>0.1</v>
      </c>
      <c r="L89">
        <f>+Table2[[#This Row],[Brine Water]]+Table2[[#This Row],[Freshwater]]</f>
        <v>0.1</v>
      </c>
      <c r="M89" t="s">
        <v>32</v>
      </c>
      <c r="N89" t="s">
        <v>33</v>
      </c>
      <c r="O89" t="s">
        <v>155</v>
      </c>
      <c r="Q89" t="s">
        <v>96</v>
      </c>
      <c r="R89">
        <v>7</v>
      </c>
      <c r="S89" t="str">
        <f>+VLOOKUP(R89,Refs[],2,0)</f>
        <v>Iyer &amp; Kelly (2024)</v>
      </c>
      <c r="T89" s="4" t="str">
        <f>IF(ISBLANK(Table2[[#This Row],[Brine Water]]),"",+VLOOKUP(Table2[[#This Row],[Unit num]]&amp;"/"&amp;Table2[[#This Row],[Unit den]],Conversion!$A$2:$B$50,2,0)*Table2[[#This Row],[Brine Water]])</f>
        <v/>
      </c>
      <c r="U89" s="4">
        <f>IF(ISBLANK(Table2[[#This Row],[Freshwater]]),"",+VLOOKUP(Table2[[#This Row],[Unit num]]&amp;"/"&amp;Table2[[#This Row],[Unit den]],Conversion!$A$2:$B$50,2,0)*Table2[[#This Row],[Freshwater]])</f>
        <v>0.1</v>
      </c>
      <c r="V89" s="4">
        <f>+VLOOKUP(Table2[[#This Row],[Unit num]]&amp;"/"&amp;Table2[[#This Row],[Unit den]],Conversion!$A$2:$B$50,2,0)*Table2[[#This Row],[Total Water]]</f>
        <v>0.1</v>
      </c>
      <c r="W89" s="4" t="str">
        <f>IF(ISNUMBER(FIND("Brine",Table2[[#This Row],[Type]])),1/Table2[[#This Row],[Grade ore Li%]]/5.323,"")</f>
        <v/>
      </c>
      <c r="X89" s="17" t="str">
        <f>+IF(ISBLANK(Table2[[#This Row],[Brine Water]]),"",Table2[[#This Row],[Brine_m3_tonLCE_GradeOnly]]/Table2[[#This Row],[BrineWater_m3_tonLCE]])</f>
        <v/>
      </c>
    </row>
    <row r="90" spans="1:24" x14ac:dyDescent="0.3">
      <c r="A90">
        <v>44</v>
      </c>
      <c r="B90">
        <v>1</v>
      </c>
      <c r="D90" t="s">
        <v>88</v>
      </c>
      <c r="E90" t="s">
        <v>167</v>
      </c>
      <c r="F90" s="18">
        <v>78320</v>
      </c>
      <c r="G90" t="s">
        <v>150</v>
      </c>
      <c r="H90" s="10">
        <f>924/1000000</f>
        <v>9.2400000000000002E-4</v>
      </c>
      <c r="I90" t="s">
        <v>168</v>
      </c>
      <c r="J90" s="4"/>
      <c r="K90">
        <v>147.4</v>
      </c>
      <c r="L90">
        <f>+Table2[[#This Row],[Brine Water]]+Table2[[#This Row],[Freshwater]]</f>
        <v>147.4</v>
      </c>
      <c r="M90" t="s">
        <v>32</v>
      </c>
      <c r="N90" t="s">
        <v>33</v>
      </c>
      <c r="O90" t="s">
        <v>155</v>
      </c>
      <c r="Q90" t="s">
        <v>96</v>
      </c>
      <c r="R90">
        <v>7</v>
      </c>
      <c r="S90" t="str">
        <f>+VLOOKUP(R90,Refs[],2,0)</f>
        <v>Iyer &amp; Kelly (2024)</v>
      </c>
      <c r="T90" s="4" t="str">
        <f>IF(ISBLANK(Table2[[#This Row],[Brine Water]]),"",+VLOOKUP(Table2[[#This Row],[Unit num]]&amp;"/"&amp;Table2[[#This Row],[Unit den]],Conversion!$A$2:$B$50,2,0)*Table2[[#This Row],[Brine Water]])</f>
        <v/>
      </c>
      <c r="U90" s="4">
        <f>IF(ISBLANK(Table2[[#This Row],[Freshwater]]),"",+VLOOKUP(Table2[[#This Row],[Unit num]]&amp;"/"&amp;Table2[[#This Row],[Unit den]],Conversion!$A$2:$B$50,2,0)*Table2[[#This Row],[Freshwater]])</f>
        <v>147.4</v>
      </c>
      <c r="V90" s="4">
        <f>+VLOOKUP(Table2[[#This Row],[Unit num]]&amp;"/"&amp;Table2[[#This Row],[Unit den]],Conversion!$A$2:$B$50,2,0)*Table2[[#This Row],[Total Water]]</f>
        <v>147.4</v>
      </c>
      <c r="W90" s="4">
        <v>0</v>
      </c>
      <c r="X90" s="17" t="str">
        <f>+IF(ISBLANK(Table2[[#This Row],[Brine Water]]),"",Table2[[#This Row],[Brine_m3_tonLCE_GradeOnly]]/Table2[[#This Row],[BrineWater_m3_tonLCE]])</f>
        <v/>
      </c>
    </row>
    <row r="91" spans="1:24" x14ac:dyDescent="0.3">
      <c r="A91">
        <v>48</v>
      </c>
      <c r="B91">
        <v>1</v>
      </c>
      <c r="D91" t="s">
        <v>100</v>
      </c>
      <c r="E91" t="s">
        <v>100</v>
      </c>
      <c r="F91">
        <v>38320</v>
      </c>
      <c r="G91" t="s">
        <v>150</v>
      </c>
      <c r="H91" s="5">
        <v>3.5000000000000001E-3</v>
      </c>
      <c r="I91">
        <v>9</v>
      </c>
      <c r="J91" s="4"/>
      <c r="K91" s="4">
        <v>171.7</v>
      </c>
      <c r="L91" s="4">
        <f>+Table2[[#This Row],[Brine Water]]+Table2[[#This Row],[Freshwater]]</f>
        <v>171.7</v>
      </c>
      <c r="M91" t="s">
        <v>65</v>
      </c>
      <c r="N91" t="s">
        <v>53</v>
      </c>
      <c r="O91" t="s">
        <v>155</v>
      </c>
      <c r="P91" t="s">
        <v>220</v>
      </c>
      <c r="Q91" t="s">
        <v>219</v>
      </c>
      <c r="R91">
        <v>9</v>
      </c>
      <c r="S91" t="str">
        <f>+VLOOKUP(R91,Refs[],2,0)</f>
        <v>Khakmardan et al. (2024)</v>
      </c>
      <c r="T91" s="4" t="str">
        <f>IF(ISBLANK(Table2[[#This Row],[Brine Water]]),"",+VLOOKUP(Table2[[#This Row],[Unit num]]&amp;"/"&amp;Table2[[#This Row],[Unit den]],Conversion!$A$2:$B$50,2,0)*Table2[[#This Row],[Brine Water]])</f>
        <v/>
      </c>
      <c r="U91" s="4">
        <f>IF(ISBLANK(Table2[[#This Row],[Freshwater]]),"",+VLOOKUP(Table2[[#This Row],[Unit num]]&amp;"/"&amp;Table2[[#This Row],[Unit den]],Conversion!$A$2:$B$50,2,0)*Table2[[#This Row],[Freshwater]])</f>
        <v>171.7</v>
      </c>
      <c r="V91" s="4">
        <f>+VLOOKUP(Table2[[#This Row],[Unit num]]&amp;"/"&amp;Table2[[#This Row],[Unit den]],Conversion!$A$2:$B$50,2,0)*Table2[[#This Row],[Total Water]]</f>
        <v>171.7</v>
      </c>
      <c r="W91" s="4">
        <v>0</v>
      </c>
      <c r="X91" s="17" t="str">
        <f>+IF(ISBLANK(Table2[[#This Row],[Brine Water]]),"",Table2[[#This Row],[Brine_m3_tonLCE_GradeOnly]]/Table2[[#This Row],[BrineWater_m3_tonLCE]])</f>
        <v/>
      </c>
    </row>
    <row r="92" spans="1:24" x14ac:dyDescent="0.3">
      <c r="A92">
        <v>49</v>
      </c>
      <c r="B92">
        <v>1</v>
      </c>
      <c r="D92" t="s">
        <v>101</v>
      </c>
      <c r="E92" s="6" t="s">
        <v>101</v>
      </c>
      <c r="F92" s="6" t="e">
        <v>#N/A</v>
      </c>
      <c r="G92" t="s">
        <v>150</v>
      </c>
      <c r="H92" s="5">
        <v>3.3E-3</v>
      </c>
      <c r="I92">
        <v>9</v>
      </c>
      <c r="J92" s="4"/>
      <c r="K92" s="4">
        <v>1011.6</v>
      </c>
      <c r="L92" s="4">
        <f>+Table2[[#This Row],[Brine Water]]+Table2[[#This Row],[Freshwater]]</f>
        <v>1011.6</v>
      </c>
      <c r="M92" t="s">
        <v>65</v>
      </c>
      <c r="N92" t="s">
        <v>53</v>
      </c>
      <c r="O92" t="s">
        <v>155</v>
      </c>
      <c r="P92" t="s">
        <v>221</v>
      </c>
      <c r="Q92" t="s">
        <v>219</v>
      </c>
      <c r="R92">
        <v>9</v>
      </c>
      <c r="S92" t="str">
        <f>+VLOOKUP(R92,Refs[],2,0)</f>
        <v>Khakmardan et al. (2024)</v>
      </c>
      <c r="T92" s="4" t="str">
        <f>IF(ISBLANK(Table2[[#This Row],[Brine Water]]),"",+VLOOKUP(Table2[[#This Row],[Unit num]]&amp;"/"&amp;Table2[[#This Row],[Unit den]],Conversion!$A$2:$B$50,2,0)*Table2[[#This Row],[Brine Water]])</f>
        <v/>
      </c>
      <c r="U92" s="4">
        <f>IF(ISBLANK(Table2[[#This Row],[Freshwater]]),"",+VLOOKUP(Table2[[#This Row],[Unit num]]&amp;"/"&amp;Table2[[#This Row],[Unit den]],Conversion!$A$2:$B$50,2,0)*Table2[[#This Row],[Freshwater]])</f>
        <v>1011.6</v>
      </c>
      <c r="V92" s="4">
        <f>+VLOOKUP(Table2[[#This Row],[Unit num]]&amp;"/"&amp;Table2[[#This Row],[Unit den]],Conversion!$A$2:$B$50,2,0)*Table2[[#This Row],[Total Water]]</f>
        <v>1011.6</v>
      </c>
      <c r="W92" s="4">
        <v>0</v>
      </c>
      <c r="X92" s="17" t="str">
        <f>+IF(ISBLANK(Table2[[#This Row],[Brine Water]]),"",Table2[[#This Row],[Brine_m3_tonLCE_GradeOnly]]/Table2[[#This Row],[BrineWater_m3_tonLCE]])</f>
        <v/>
      </c>
    </row>
    <row r="93" spans="1:24" x14ac:dyDescent="0.3">
      <c r="A93">
        <v>50</v>
      </c>
      <c r="B93">
        <v>1</v>
      </c>
      <c r="D93" t="s">
        <v>87</v>
      </c>
      <c r="E93" t="s">
        <v>87</v>
      </c>
      <c r="F93">
        <v>36750</v>
      </c>
      <c r="G93" t="s">
        <v>150</v>
      </c>
      <c r="H93" s="5">
        <v>3.2000000000000002E-3</v>
      </c>
      <c r="I93">
        <v>9</v>
      </c>
      <c r="J93" s="4"/>
      <c r="K93" s="4">
        <v>847.5</v>
      </c>
      <c r="L93" s="4">
        <f>+Table2[[#This Row],[Brine Water]]+Table2[[#This Row],[Freshwater]]</f>
        <v>847.5</v>
      </c>
      <c r="M93" t="s">
        <v>65</v>
      </c>
      <c r="N93" t="s">
        <v>53</v>
      </c>
      <c r="O93" t="s">
        <v>155</v>
      </c>
      <c r="P93" t="s">
        <v>222</v>
      </c>
      <c r="Q93" t="s">
        <v>219</v>
      </c>
      <c r="R93">
        <v>9</v>
      </c>
      <c r="S93" t="str">
        <f>+VLOOKUP(R93,Refs[],2,0)</f>
        <v>Khakmardan et al. (2024)</v>
      </c>
      <c r="T93" s="4" t="str">
        <f>IF(ISBLANK(Table2[[#This Row],[Brine Water]]),"",+VLOOKUP(Table2[[#This Row],[Unit num]]&amp;"/"&amp;Table2[[#This Row],[Unit den]],Conversion!$A$2:$B$50,2,0)*Table2[[#This Row],[Brine Water]])</f>
        <v/>
      </c>
      <c r="U93" s="4">
        <f>IF(ISBLANK(Table2[[#This Row],[Freshwater]]),"",+VLOOKUP(Table2[[#This Row],[Unit num]]&amp;"/"&amp;Table2[[#This Row],[Unit den]],Conversion!$A$2:$B$50,2,0)*Table2[[#This Row],[Freshwater]])</f>
        <v>847.5</v>
      </c>
      <c r="V93" s="4">
        <f>+VLOOKUP(Table2[[#This Row],[Unit num]]&amp;"/"&amp;Table2[[#This Row],[Unit den]],Conversion!$A$2:$B$50,2,0)*Table2[[#This Row],[Total Water]]</f>
        <v>847.5</v>
      </c>
      <c r="W93" s="4">
        <v>0</v>
      </c>
      <c r="X93" s="17" t="str">
        <f>+IF(ISBLANK(Table2[[#This Row],[Brine Water]]),"",Table2[[#This Row],[Brine_m3_tonLCE_GradeOnly]]/Table2[[#This Row],[BrineWater_m3_tonLCE]])</f>
        <v/>
      </c>
    </row>
    <row r="94" spans="1:24" x14ac:dyDescent="0.3">
      <c r="A94">
        <v>53</v>
      </c>
      <c r="B94">
        <v>1</v>
      </c>
      <c r="D94" t="s">
        <v>107</v>
      </c>
      <c r="E94" t="e">
        <v>#N/A</v>
      </c>
      <c r="F94" s="6" t="e">
        <v>#N/A</v>
      </c>
      <c r="G94" t="s">
        <v>150</v>
      </c>
      <c r="H94" s="5">
        <f>+(600+3130)/2/1000000</f>
        <v>1.8649999999999999E-3</v>
      </c>
      <c r="I94">
        <v>11</v>
      </c>
      <c r="J94" s="4"/>
      <c r="K94" s="4">
        <v>130</v>
      </c>
      <c r="L94" s="4">
        <f>+Table2[[#This Row],[Brine Water]]+Table2[[#This Row],[Freshwater]]</f>
        <v>130</v>
      </c>
      <c r="M94" t="s">
        <v>65</v>
      </c>
      <c r="N94" t="s">
        <v>53</v>
      </c>
      <c r="O94" t="s">
        <v>155</v>
      </c>
      <c r="R94">
        <v>11</v>
      </c>
      <c r="S94" t="str">
        <f>+VLOOKUP(R94,Refs[],2,0)</f>
        <v>Mousavinezhad et al. (2025)</v>
      </c>
      <c r="T94" s="4" t="str">
        <f>IF(ISBLANK(Table2[[#This Row],[Brine Water]]),"",+VLOOKUP(Table2[[#This Row],[Unit num]]&amp;"/"&amp;Table2[[#This Row],[Unit den]],Conversion!$A$2:$B$50,2,0)*Table2[[#This Row],[Brine Water]])</f>
        <v/>
      </c>
      <c r="U94" s="4">
        <f>IF(ISBLANK(Table2[[#This Row],[Freshwater]]),"",+VLOOKUP(Table2[[#This Row],[Unit num]]&amp;"/"&amp;Table2[[#This Row],[Unit den]],Conversion!$A$2:$B$50,2,0)*Table2[[#This Row],[Freshwater]])</f>
        <v>130</v>
      </c>
      <c r="V94" s="4">
        <f>+VLOOKUP(Table2[[#This Row],[Unit num]]&amp;"/"&amp;Table2[[#This Row],[Unit den]],Conversion!$A$2:$B$50,2,0)*Table2[[#This Row],[Total Water]]</f>
        <v>130</v>
      </c>
      <c r="W94" s="4">
        <v>0</v>
      </c>
      <c r="X94" s="17" t="str">
        <f>+IF(ISBLANK(Table2[[#This Row],[Brine Water]]),"",Table2[[#This Row],[Brine_m3_tonLCE_GradeOnly]]/Table2[[#This Row],[BrineWater_m3_tonLCE]])</f>
        <v/>
      </c>
    </row>
    <row r="95" spans="1:24" x14ac:dyDescent="0.3">
      <c r="A95">
        <v>54</v>
      </c>
      <c r="B95">
        <v>1</v>
      </c>
      <c r="D95" t="s">
        <v>111</v>
      </c>
      <c r="E95" s="6" t="s">
        <v>225</v>
      </c>
      <c r="F95" s="18">
        <v>59768</v>
      </c>
      <c r="G95" t="s">
        <v>150</v>
      </c>
      <c r="H95" s="5">
        <f>1340/1000000</f>
        <v>1.34E-3</v>
      </c>
      <c r="I95" t="s">
        <v>146</v>
      </c>
      <c r="J95" s="4"/>
      <c r="K95" s="4">
        <v>95.07</v>
      </c>
      <c r="L95" s="4">
        <f>+Table2[[#This Row],[Brine Water]]+Table2[[#This Row],[Freshwater]]</f>
        <v>95.07</v>
      </c>
      <c r="M95" t="s">
        <v>32</v>
      </c>
      <c r="N95" t="s">
        <v>33</v>
      </c>
      <c r="O95" t="s">
        <v>155</v>
      </c>
      <c r="P95" t="s">
        <v>113</v>
      </c>
      <c r="R95">
        <v>12</v>
      </c>
      <c r="S95" t="str">
        <f>+VLOOKUP(R95,Refs[],2,0)</f>
        <v>Roy et al. (2024)</v>
      </c>
      <c r="T95" s="4" t="str">
        <f>IF(ISBLANK(Table2[[#This Row],[Brine Water]]),"",+VLOOKUP(Table2[[#This Row],[Unit num]]&amp;"/"&amp;Table2[[#This Row],[Unit den]],Conversion!$A$2:$B$50,2,0)*Table2[[#This Row],[Brine Water]])</f>
        <v/>
      </c>
      <c r="U95" s="4">
        <f>IF(ISBLANK(Table2[[#This Row],[Freshwater]]),"",+VLOOKUP(Table2[[#This Row],[Unit num]]&amp;"/"&amp;Table2[[#This Row],[Unit den]],Conversion!$A$2:$B$50,2,0)*Table2[[#This Row],[Freshwater]])</f>
        <v>95.07</v>
      </c>
      <c r="V95" s="4">
        <f>+VLOOKUP(Table2[[#This Row],[Unit num]]&amp;"/"&amp;Table2[[#This Row],[Unit den]],Conversion!$A$2:$B$50,2,0)*Table2[[#This Row],[Total Water]]</f>
        <v>95.07</v>
      </c>
      <c r="W95" s="4">
        <v>0</v>
      </c>
      <c r="X95" s="17" t="str">
        <f>+IF(ISBLANK(Table2[[#This Row],[Brine Water]]),"",Table2[[#This Row],[Brine_m3_tonLCE_GradeOnly]]/Table2[[#This Row],[BrineWater_m3_tonLCE]])</f>
        <v/>
      </c>
    </row>
    <row r="96" spans="1:24" x14ac:dyDescent="0.3">
      <c r="A96">
        <v>55</v>
      </c>
      <c r="B96">
        <v>1</v>
      </c>
      <c r="D96" t="s">
        <v>87</v>
      </c>
      <c r="E96" t="s">
        <v>87</v>
      </c>
      <c r="F96">
        <v>36750</v>
      </c>
      <c r="G96" t="s">
        <v>150</v>
      </c>
      <c r="H96" s="10">
        <v>3.16E-3</v>
      </c>
      <c r="I96" t="s">
        <v>146</v>
      </c>
      <c r="J96" s="4"/>
      <c r="K96" s="4">
        <v>100.1</v>
      </c>
      <c r="L96" s="4">
        <f>+Table2[[#This Row],[Brine Water]]+Table2[[#This Row],[Freshwater]]</f>
        <v>100.1</v>
      </c>
      <c r="M96" t="s">
        <v>32</v>
      </c>
      <c r="N96" t="s">
        <v>33</v>
      </c>
      <c r="O96" t="s">
        <v>155</v>
      </c>
      <c r="R96">
        <v>12</v>
      </c>
      <c r="S96" t="str">
        <f>+VLOOKUP(R96,Refs[],2,0)</f>
        <v>Roy et al. (2024)</v>
      </c>
      <c r="T96" s="4" t="str">
        <f>IF(ISBLANK(Table2[[#This Row],[Brine Water]]),"",+VLOOKUP(Table2[[#This Row],[Unit num]]&amp;"/"&amp;Table2[[#This Row],[Unit den]],Conversion!$A$2:$B$50,2,0)*Table2[[#This Row],[Brine Water]])</f>
        <v/>
      </c>
      <c r="U96" s="4">
        <f>IF(ISBLANK(Table2[[#This Row],[Freshwater]]),"",+VLOOKUP(Table2[[#This Row],[Unit num]]&amp;"/"&amp;Table2[[#This Row],[Unit den]],Conversion!$A$2:$B$50,2,0)*Table2[[#This Row],[Freshwater]])</f>
        <v>100.1</v>
      </c>
      <c r="V96" s="4">
        <f>+VLOOKUP(Table2[[#This Row],[Unit num]]&amp;"/"&amp;Table2[[#This Row],[Unit den]],Conversion!$A$2:$B$50,2,0)*Table2[[#This Row],[Total Water]]</f>
        <v>100.1</v>
      </c>
      <c r="W96" s="4">
        <v>0</v>
      </c>
      <c r="X96" s="17" t="str">
        <f>+IF(ISBLANK(Table2[[#This Row],[Brine Water]]),"",Table2[[#This Row],[Brine_m3_tonLCE_GradeOnly]]/Table2[[#This Row],[BrineWater_m3_tonLCE]])</f>
        <v/>
      </c>
    </row>
  </sheetData>
  <phoneticPr fontId="8" type="noConversion"/>
  <conditionalFormatting sqref="D2:D64">
    <cfRule type="duplicateValues" dxfId="6" priority="7"/>
  </conditionalFormatting>
  <conditionalFormatting sqref="E1:F1048576">
    <cfRule type="duplicateValues" dxfId="5" priority="6"/>
  </conditionalFormatting>
  <conditionalFormatting sqref="G1:G1048576">
    <cfRule type="containsText" dxfId="4" priority="1" operator="containsText" text="Volcano">
      <formula>NOT(ISERROR(SEARCH("Volcano",G1)))</formula>
    </cfRule>
    <cfRule type="containsText" dxfId="3" priority="2" operator="containsText" text="Hard Rock">
      <formula>NOT(ISERROR(SEARCH("Hard Rock",G1)))</formula>
    </cfRule>
    <cfRule type="containsText" dxfId="2" priority="3" operator="containsText" text="Brine">
      <formula>NOT(ISERROR(SEARCH("Brine",G1)))</formula>
    </cfRule>
    <cfRule type="expression" dxfId="1" priority="5">
      <formula>"Brine"</formula>
    </cfRule>
  </conditionalFormatting>
  <conditionalFormatting sqref="O2:O96">
    <cfRule type="containsText" dxfId="0" priority="4" operator="containsText" text="Yes">
      <formula>NOT(ISERROR(SEARCH("Yes",O2)))</formula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FE55F-7940-426B-B11A-C8BDA301481E}">
  <dimension ref="A1:J51"/>
  <sheetViews>
    <sheetView workbookViewId="0">
      <selection activeCell="E5" sqref="E5"/>
    </sheetView>
  </sheetViews>
  <sheetFormatPr defaultRowHeight="14.4" x14ac:dyDescent="0.3"/>
  <cols>
    <col min="1" max="1" width="19.33203125" bestFit="1" customWidth="1"/>
    <col min="2" max="2" width="26.21875" customWidth="1"/>
    <col min="3" max="3" width="34.21875" customWidth="1"/>
    <col min="4" max="4" width="9.33203125" bestFit="1" customWidth="1"/>
    <col min="8" max="8" width="19.33203125" bestFit="1" customWidth="1"/>
    <col min="9" max="9" width="10.33203125" bestFit="1" customWidth="1"/>
  </cols>
  <sheetData>
    <row r="1" spans="1:10" x14ac:dyDescent="0.3">
      <c r="A1" t="s">
        <v>238</v>
      </c>
      <c r="C1" t="s">
        <v>239</v>
      </c>
    </row>
    <row r="2" spans="1:10" ht="28.8" x14ac:dyDescent="0.3">
      <c r="A2" s="14" t="s">
        <v>231</v>
      </c>
      <c r="B2" s="15" t="s">
        <v>232</v>
      </c>
      <c r="C2" s="15" t="s">
        <v>241</v>
      </c>
      <c r="D2" s="14" t="s">
        <v>233</v>
      </c>
    </row>
    <row r="3" spans="1:10" x14ac:dyDescent="0.3">
      <c r="A3" t="s">
        <v>234</v>
      </c>
      <c r="B3">
        <v>0.06</v>
      </c>
      <c r="C3">
        <v>4.4000000000000004</v>
      </c>
      <c r="D3" s="13">
        <v>74</v>
      </c>
      <c r="H3" s="1" t="s">
        <v>240</v>
      </c>
      <c r="I3" s="1" t="s">
        <v>242</v>
      </c>
      <c r="J3" t="s">
        <v>243</v>
      </c>
    </row>
    <row r="4" spans="1:10" x14ac:dyDescent="0.3">
      <c r="A4" t="s">
        <v>234</v>
      </c>
      <c r="B4">
        <v>2591</v>
      </c>
      <c r="C4">
        <v>0.09</v>
      </c>
      <c r="D4" s="13">
        <v>75</v>
      </c>
      <c r="H4" t="s">
        <v>234</v>
      </c>
      <c r="I4" s="4">
        <f>+AVERAGE(B3:B14)</f>
        <v>302.69333333333327</v>
      </c>
      <c r="J4" s="2">
        <f>+AVERAGE(C3:C14)</f>
        <v>6.4275000000000011</v>
      </c>
    </row>
    <row r="5" spans="1:10" x14ac:dyDescent="0.3">
      <c r="A5" t="s">
        <v>234</v>
      </c>
      <c r="B5">
        <v>756.5</v>
      </c>
      <c r="C5">
        <v>0.3</v>
      </c>
      <c r="D5" s="13">
        <v>76</v>
      </c>
      <c r="H5" t="s">
        <v>235</v>
      </c>
      <c r="I5" s="4">
        <f>+AVERAGE(B17:B33)</f>
        <v>6074.6046666666671</v>
      </c>
      <c r="J5" s="2">
        <f>+AVERAGE(C17:C33)</f>
        <v>0.27226666666666666</v>
      </c>
    </row>
    <row r="6" spans="1:10" x14ac:dyDescent="0.3">
      <c r="A6" t="s">
        <v>234</v>
      </c>
      <c r="B6">
        <v>0.81</v>
      </c>
      <c r="C6">
        <v>1.25</v>
      </c>
      <c r="D6" s="13">
        <v>85</v>
      </c>
      <c r="H6" t="s">
        <v>237</v>
      </c>
      <c r="I6" s="4">
        <f>+AVERAGE(B34:B51)</f>
        <v>1019.6444444444446</v>
      </c>
      <c r="J6" s="2">
        <f>+AVERAGE(C34:C51)</f>
        <v>1.4016666666666666</v>
      </c>
    </row>
    <row r="7" spans="1:10" x14ac:dyDescent="0.3">
      <c r="A7" t="s">
        <v>234</v>
      </c>
      <c r="B7">
        <v>29.6</v>
      </c>
      <c r="C7">
        <v>20.92</v>
      </c>
      <c r="D7" s="13">
        <v>77</v>
      </c>
    </row>
    <row r="8" spans="1:10" x14ac:dyDescent="0.3">
      <c r="A8" t="s">
        <v>234</v>
      </c>
      <c r="B8">
        <v>2.11</v>
      </c>
      <c r="C8">
        <v>1.27</v>
      </c>
      <c r="D8" s="13">
        <v>78</v>
      </c>
      <c r="H8" s="1" t="s">
        <v>154</v>
      </c>
      <c r="I8" s="4">
        <f>+AVERAGE(B3:B51)</f>
        <v>2886.8941666666669</v>
      </c>
      <c r="J8" s="2">
        <f>+AVERAGE(C3:C51)</f>
        <v>2.5136923076923066</v>
      </c>
    </row>
    <row r="9" spans="1:10" x14ac:dyDescent="0.3">
      <c r="A9" t="s">
        <v>234</v>
      </c>
      <c r="B9">
        <v>188.62</v>
      </c>
      <c r="C9">
        <v>20</v>
      </c>
      <c r="D9" s="13">
        <v>79</v>
      </c>
    </row>
    <row r="10" spans="1:10" x14ac:dyDescent="0.3">
      <c r="A10" t="s">
        <v>234</v>
      </c>
      <c r="B10">
        <v>1.99</v>
      </c>
      <c r="C10">
        <v>0.99</v>
      </c>
      <c r="D10" s="13">
        <v>80</v>
      </c>
    </row>
    <row r="11" spans="1:10" x14ac:dyDescent="0.3">
      <c r="A11" t="s">
        <v>234</v>
      </c>
      <c r="B11">
        <v>0.08</v>
      </c>
      <c r="C11">
        <v>1.18</v>
      </c>
      <c r="D11" s="13">
        <v>81</v>
      </c>
    </row>
    <row r="12" spans="1:10" x14ac:dyDescent="0.3">
      <c r="A12" t="s">
        <v>234</v>
      </c>
      <c r="B12">
        <v>1.1200000000000001</v>
      </c>
      <c r="C12">
        <v>15.05</v>
      </c>
      <c r="D12" s="13">
        <v>82</v>
      </c>
    </row>
    <row r="13" spans="1:10" x14ac:dyDescent="0.3">
      <c r="A13" t="s">
        <v>234</v>
      </c>
      <c r="B13">
        <v>0.18</v>
      </c>
      <c r="C13">
        <v>8.25</v>
      </c>
      <c r="D13" s="13">
        <v>83</v>
      </c>
    </row>
    <row r="14" spans="1:10" x14ac:dyDescent="0.3">
      <c r="A14" t="s">
        <v>234</v>
      </c>
      <c r="B14">
        <v>60.25</v>
      </c>
      <c r="C14">
        <v>3.43</v>
      </c>
      <c r="D14" s="13">
        <v>86</v>
      </c>
    </row>
    <row r="15" spans="1:10" x14ac:dyDescent="0.3">
      <c r="A15" t="s">
        <v>235</v>
      </c>
      <c r="B15" t="s">
        <v>236</v>
      </c>
      <c r="C15" t="s">
        <v>236</v>
      </c>
      <c r="D15" s="13">
        <v>48</v>
      </c>
    </row>
    <row r="16" spans="1:10" x14ac:dyDescent="0.3">
      <c r="A16" t="s">
        <v>235</v>
      </c>
      <c r="B16" t="s">
        <v>236</v>
      </c>
      <c r="C16" t="s">
        <v>236</v>
      </c>
      <c r="D16" s="13">
        <v>49</v>
      </c>
    </row>
    <row r="17" spans="1:4" x14ac:dyDescent="0.3">
      <c r="A17" t="s">
        <v>235</v>
      </c>
      <c r="B17">
        <v>9.09</v>
      </c>
      <c r="C17">
        <v>0.62</v>
      </c>
      <c r="D17" s="13">
        <v>87</v>
      </c>
    </row>
    <row r="18" spans="1:4" x14ac:dyDescent="0.3">
      <c r="A18" t="s">
        <v>235</v>
      </c>
      <c r="B18">
        <v>32.880000000000003</v>
      </c>
      <c r="C18">
        <v>0.24</v>
      </c>
      <c r="D18" s="13">
        <v>88</v>
      </c>
    </row>
    <row r="19" spans="1:4" x14ac:dyDescent="0.3">
      <c r="A19" t="s">
        <v>235</v>
      </c>
      <c r="B19">
        <v>2684</v>
      </c>
      <c r="C19">
        <v>1.4E-2</v>
      </c>
      <c r="D19" s="13">
        <v>89</v>
      </c>
    </row>
    <row r="20" spans="1:4" x14ac:dyDescent="0.3">
      <c r="A20" t="s">
        <v>235</v>
      </c>
      <c r="B20">
        <v>188</v>
      </c>
      <c r="C20">
        <v>0.05</v>
      </c>
      <c r="D20" s="13">
        <v>50</v>
      </c>
    </row>
    <row r="21" spans="1:4" x14ac:dyDescent="0.3">
      <c r="A21" t="s">
        <v>235</v>
      </c>
      <c r="B21">
        <v>7994</v>
      </c>
      <c r="C21">
        <v>5.0000000000000001E-3</v>
      </c>
      <c r="D21" s="13">
        <v>90</v>
      </c>
    </row>
    <row r="22" spans="1:4" x14ac:dyDescent="0.3">
      <c r="A22" t="s">
        <v>235</v>
      </c>
      <c r="B22">
        <v>226.2</v>
      </c>
      <c r="C22">
        <v>4.1000000000000002E-2</v>
      </c>
      <c r="D22" s="13">
        <v>91</v>
      </c>
    </row>
    <row r="23" spans="1:4" x14ac:dyDescent="0.3">
      <c r="A23" t="s">
        <v>235</v>
      </c>
      <c r="B23">
        <v>8.1999999999999993</v>
      </c>
      <c r="C23">
        <v>0.22900000000000001</v>
      </c>
      <c r="D23" s="13">
        <v>51</v>
      </c>
    </row>
    <row r="24" spans="1:4" x14ac:dyDescent="0.3">
      <c r="A24" t="s">
        <v>235</v>
      </c>
      <c r="B24">
        <v>462</v>
      </c>
      <c r="C24">
        <v>6.0999999999999999E-2</v>
      </c>
      <c r="D24" s="13">
        <v>52</v>
      </c>
    </row>
    <row r="25" spans="1:4" x14ac:dyDescent="0.3">
      <c r="A25" t="s">
        <v>235</v>
      </c>
      <c r="B25" t="s">
        <v>236</v>
      </c>
      <c r="C25" t="s">
        <v>236</v>
      </c>
      <c r="D25" s="13">
        <v>53</v>
      </c>
    </row>
    <row r="26" spans="1:4" x14ac:dyDescent="0.3">
      <c r="A26" t="s">
        <v>235</v>
      </c>
      <c r="B26">
        <v>60604</v>
      </c>
      <c r="C26">
        <v>3.0000000000000001E-3</v>
      </c>
      <c r="D26" s="13">
        <v>54</v>
      </c>
    </row>
    <row r="27" spans="1:4" x14ac:dyDescent="0.3">
      <c r="A27" t="s">
        <v>235</v>
      </c>
      <c r="B27">
        <v>18787</v>
      </c>
      <c r="C27">
        <v>1E-3</v>
      </c>
      <c r="D27" s="13">
        <v>55</v>
      </c>
    </row>
    <row r="28" spans="1:4" x14ac:dyDescent="0.3">
      <c r="A28" t="s">
        <v>235</v>
      </c>
      <c r="B28">
        <v>20.350000000000001</v>
      </c>
      <c r="C28">
        <v>0.27700000000000002</v>
      </c>
      <c r="D28" s="13">
        <v>56</v>
      </c>
    </row>
    <row r="29" spans="1:4" x14ac:dyDescent="0.3">
      <c r="A29" t="s">
        <v>235</v>
      </c>
      <c r="B29">
        <v>18.100000000000001</v>
      </c>
      <c r="C29">
        <v>0.34699999999999998</v>
      </c>
      <c r="D29" s="13">
        <v>57</v>
      </c>
    </row>
    <row r="30" spans="1:4" x14ac:dyDescent="0.3">
      <c r="A30" t="s">
        <v>235</v>
      </c>
      <c r="B30">
        <v>2.74</v>
      </c>
      <c r="C30">
        <v>0.34200000000000003</v>
      </c>
      <c r="D30" s="13">
        <v>58</v>
      </c>
    </row>
    <row r="31" spans="1:4" x14ac:dyDescent="0.3">
      <c r="A31" t="s">
        <v>235</v>
      </c>
      <c r="B31">
        <v>0.11</v>
      </c>
      <c r="C31">
        <v>1.74</v>
      </c>
      <c r="D31" s="13">
        <v>59</v>
      </c>
    </row>
    <row r="32" spans="1:4" x14ac:dyDescent="0.3">
      <c r="A32" t="s">
        <v>235</v>
      </c>
      <c r="B32" t="s">
        <v>236</v>
      </c>
      <c r="C32" t="s">
        <v>236</v>
      </c>
      <c r="D32" s="13">
        <v>60</v>
      </c>
    </row>
    <row r="33" spans="1:4" x14ac:dyDescent="0.3">
      <c r="A33" t="s">
        <v>235</v>
      </c>
      <c r="B33">
        <v>82.4</v>
      </c>
      <c r="C33">
        <v>0.114</v>
      </c>
      <c r="D33" s="13">
        <v>61</v>
      </c>
    </row>
    <row r="34" spans="1:4" x14ac:dyDescent="0.3">
      <c r="A34" t="s">
        <v>237</v>
      </c>
      <c r="B34" t="s">
        <v>236</v>
      </c>
      <c r="C34" t="s">
        <v>236</v>
      </c>
      <c r="D34" s="13">
        <v>10</v>
      </c>
    </row>
    <row r="35" spans="1:4" x14ac:dyDescent="0.3">
      <c r="A35" t="s">
        <v>237</v>
      </c>
      <c r="B35">
        <v>229.6</v>
      </c>
      <c r="C35">
        <v>0.09</v>
      </c>
      <c r="D35" s="13">
        <v>11</v>
      </c>
    </row>
    <row r="36" spans="1:4" x14ac:dyDescent="0.3">
      <c r="A36" t="s">
        <v>237</v>
      </c>
      <c r="B36" t="s">
        <v>236</v>
      </c>
      <c r="C36">
        <v>0.49</v>
      </c>
      <c r="D36" s="13">
        <v>13</v>
      </c>
    </row>
    <row r="37" spans="1:4" x14ac:dyDescent="0.3">
      <c r="A37" t="s">
        <v>237</v>
      </c>
      <c r="B37" t="s">
        <v>236</v>
      </c>
      <c r="C37" t="s">
        <v>236</v>
      </c>
      <c r="D37" s="13">
        <v>12</v>
      </c>
    </row>
    <row r="38" spans="1:4" x14ac:dyDescent="0.3">
      <c r="A38" t="s">
        <v>237</v>
      </c>
      <c r="B38" t="s">
        <v>236</v>
      </c>
      <c r="C38" t="s">
        <v>236</v>
      </c>
      <c r="D38" s="13">
        <v>14</v>
      </c>
    </row>
    <row r="39" spans="1:4" x14ac:dyDescent="0.3">
      <c r="A39" t="s">
        <v>237</v>
      </c>
      <c r="B39">
        <v>4169.3</v>
      </c>
      <c r="C39">
        <v>0.14000000000000001</v>
      </c>
      <c r="D39" s="13">
        <v>92</v>
      </c>
    </row>
    <row r="40" spans="1:4" x14ac:dyDescent="0.3">
      <c r="A40" t="s">
        <v>237</v>
      </c>
      <c r="B40">
        <v>90.3</v>
      </c>
      <c r="C40">
        <v>0.21</v>
      </c>
      <c r="D40" s="13">
        <v>93</v>
      </c>
    </row>
    <row r="41" spans="1:4" x14ac:dyDescent="0.3">
      <c r="A41" t="s">
        <v>237</v>
      </c>
      <c r="B41">
        <v>41.4</v>
      </c>
      <c r="C41">
        <v>13.8</v>
      </c>
      <c r="D41" s="13">
        <v>15</v>
      </c>
    </row>
    <row r="42" spans="1:4" x14ac:dyDescent="0.3">
      <c r="A42" t="s">
        <v>237</v>
      </c>
      <c r="B42">
        <v>757.5</v>
      </c>
      <c r="C42">
        <v>0.06</v>
      </c>
      <c r="D42" s="13">
        <v>16</v>
      </c>
    </row>
    <row r="43" spans="1:4" x14ac:dyDescent="0.3">
      <c r="A43" t="s">
        <v>237</v>
      </c>
      <c r="B43">
        <v>2119.8000000000002</v>
      </c>
      <c r="C43">
        <v>0.19</v>
      </c>
      <c r="D43" s="13">
        <v>17</v>
      </c>
    </row>
    <row r="44" spans="1:4" x14ac:dyDescent="0.3">
      <c r="A44" t="s">
        <v>237</v>
      </c>
      <c r="B44" t="s">
        <v>236</v>
      </c>
      <c r="C44" t="s">
        <v>236</v>
      </c>
      <c r="D44" s="13">
        <v>94</v>
      </c>
    </row>
    <row r="45" spans="1:4" x14ac:dyDescent="0.3">
      <c r="A45" t="s">
        <v>237</v>
      </c>
      <c r="B45" t="s">
        <v>236</v>
      </c>
      <c r="C45">
        <v>0.16</v>
      </c>
      <c r="D45" s="13">
        <v>18</v>
      </c>
    </row>
    <row r="46" spans="1:4" x14ac:dyDescent="0.3">
      <c r="A46" t="s">
        <v>237</v>
      </c>
      <c r="B46" t="s">
        <v>236</v>
      </c>
      <c r="C46" t="s">
        <v>236</v>
      </c>
      <c r="D46" s="13">
        <v>95</v>
      </c>
    </row>
    <row r="47" spans="1:4" x14ac:dyDescent="0.3">
      <c r="A47" t="s">
        <v>237</v>
      </c>
      <c r="B47" t="s">
        <v>236</v>
      </c>
      <c r="C47" t="s">
        <v>236</v>
      </c>
      <c r="D47" s="13">
        <v>96</v>
      </c>
    </row>
    <row r="48" spans="1:4" x14ac:dyDescent="0.3">
      <c r="A48" t="s">
        <v>237</v>
      </c>
      <c r="B48">
        <v>857.7</v>
      </c>
      <c r="C48">
        <v>0.05</v>
      </c>
      <c r="D48" s="13">
        <v>97</v>
      </c>
    </row>
    <row r="49" spans="1:4" x14ac:dyDescent="0.3">
      <c r="A49" t="s">
        <v>237</v>
      </c>
      <c r="B49">
        <v>773.5</v>
      </c>
      <c r="C49">
        <v>0.24</v>
      </c>
      <c r="D49" s="13">
        <v>98</v>
      </c>
    </row>
    <row r="50" spans="1:4" x14ac:dyDescent="0.3">
      <c r="A50" t="s">
        <v>237</v>
      </c>
      <c r="B50" t="s">
        <v>236</v>
      </c>
      <c r="C50">
        <v>1.32</v>
      </c>
      <c r="D50" s="13">
        <v>99</v>
      </c>
    </row>
    <row r="51" spans="1:4" x14ac:dyDescent="0.3">
      <c r="A51" t="s">
        <v>237</v>
      </c>
      <c r="B51">
        <v>137.69999999999999</v>
      </c>
      <c r="C51">
        <v>7.0000000000000007E-2</v>
      </c>
      <c r="D51" s="13">
        <v>100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B0364-BB6A-4EB7-9468-B9DDD6A9492B}">
  <dimension ref="A1:B10"/>
  <sheetViews>
    <sheetView workbookViewId="0">
      <selection activeCell="G35" sqref="G35"/>
    </sheetView>
  </sheetViews>
  <sheetFormatPr defaultRowHeight="14.4" x14ac:dyDescent="0.3"/>
  <cols>
    <col min="1" max="1" width="21.88671875" bestFit="1" customWidth="1"/>
    <col min="2" max="2" width="16.21875" bestFit="1" customWidth="1"/>
  </cols>
  <sheetData>
    <row r="1" spans="1:2" x14ac:dyDescent="0.3">
      <c r="A1" s="1" t="s">
        <v>117</v>
      </c>
      <c r="B1" s="1" t="s">
        <v>118</v>
      </c>
    </row>
    <row r="2" spans="1:2" x14ac:dyDescent="0.3">
      <c r="A2" t="s">
        <v>119</v>
      </c>
      <c r="B2">
        <v>1</v>
      </c>
    </row>
    <row r="3" spans="1:2" x14ac:dyDescent="0.3">
      <c r="A3" t="s">
        <v>120</v>
      </c>
      <c r="B3">
        <f>1/1000</f>
        <v>1E-3</v>
      </c>
    </row>
    <row r="4" spans="1:2" x14ac:dyDescent="0.3">
      <c r="A4" t="s">
        <v>121</v>
      </c>
      <c r="B4">
        <v>1</v>
      </c>
    </row>
    <row r="5" spans="1:2" x14ac:dyDescent="0.3">
      <c r="A5" t="s">
        <v>122</v>
      </c>
      <c r="B5">
        <v>1</v>
      </c>
    </row>
    <row r="6" spans="1:2" x14ac:dyDescent="0.3">
      <c r="A6" t="s">
        <v>123</v>
      </c>
      <c r="B6" s="2">
        <f>1/0.8808</f>
        <v>1.1353315168029063</v>
      </c>
    </row>
    <row r="7" spans="1:2" x14ac:dyDescent="0.3">
      <c r="A7" t="s">
        <v>124</v>
      </c>
      <c r="B7">
        <f>1/1000</f>
        <v>1E-3</v>
      </c>
    </row>
    <row r="8" spans="1:2" x14ac:dyDescent="0.3">
      <c r="A8" t="s">
        <v>125</v>
      </c>
      <c r="B8">
        <v>1</v>
      </c>
    </row>
    <row r="9" spans="1:2" x14ac:dyDescent="0.3">
      <c r="A9" t="s">
        <v>178</v>
      </c>
      <c r="B9">
        <f>1/5.323</f>
        <v>0.18786398647379296</v>
      </c>
    </row>
    <row r="10" spans="1:2" x14ac:dyDescent="0.3">
      <c r="A10" t="s">
        <v>202</v>
      </c>
      <c r="B10">
        <v>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9CFBC-93EE-41A3-A50D-01085058F069}">
  <dimension ref="A1:G18"/>
  <sheetViews>
    <sheetView topLeftCell="A2" workbookViewId="0">
      <selection activeCell="G14" sqref="G14"/>
    </sheetView>
  </sheetViews>
  <sheetFormatPr defaultRowHeight="14.4" x14ac:dyDescent="0.3"/>
  <cols>
    <col min="2" max="2" width="23.5546875" bestFit="1" customWidth="1"/>
    <col min="3" max="3" width="9.5546875" customWidth="1"/>
    <col min="5" max="5" width="8.77734375" customWidth="1"/>
    <col min="6" max="6" width="76.88671875" bestFit="1" customWidth="1"/>
    <col min="7" max="7" width="21.109375" bestFit="1" customWidth="1"/>
  </cols>
  <sheetData>
    <row r="1" spans="1:7" x14ac:dyDescent="0.3">
      <c r="A1" s="1" t="s">
        <v>2</v>
      </c>
      <c r="B1" s="1" t="s">
        <v>43</v>
      </c>
      <c r="C1" s="1" t="s">
        <v>45</v>
      </c>
      <c r="D1" s="1" t="s">
        <v>1</v>
      </c>
      <c r="E1" s="1" t="s">
        <v>46</v>
      </c>
      <c r="F1" s="1" t="s">
        <v>170</v>
      </c>
      <c r="G1" s="1" t="s">
        <v>147</v>
      </c>
    </row>
    <row r="2" spans="1:7" x14ac:dyDescent="0.3">
      <c r="A2">
        <v>1</v>
      </c>
      <c r="B2" t="s">
        <v>82</v>
      </c>
    </row>
    <row r="3" spans="1:7" x14ac:dyDescent="0.3">
      <c r="A3">
        <v>2</v>
      </c>
      <c r="B3" t="s">
        <v>83</v>
      </c>
    </row>
    <row r="4" spans="1:7" x14ac:dyDescent="0.3">
      <c r="A4">
        <v>3</v>
      </c>
      <c r="B4" t="s">
        <v>44</v>
      </c>
      <c r="C4" t="s">
        <v>3</v>
      </c>
      <c r="D4">
        <v>2025</v>
      </c>
      <c r="E4" s="9" t="s">
        <v>47</v>
      </c>
      <c r="G4" t="s">
        <v>41</v>
      </c>
    </row>
    <row r="5" spans="1:7" x14ac:dyDescent="0.3">
      <c r="A5">
        <v>4</v>
      </c>
      <c r="B5" t="s">
        <v>49</v>
      </c>
      <c r="C5" t="s">
        <v>48</v>
      </c>
      <c r="D5">
        <v>2024</v>
      </c>
      <c r="E5" s="9" t="s">
        <v>50</v>
      </c>
      <c r="G5" t="s">
        <v>219</v>
      </c>
    </row>
    <row r="6" spans="1:7" x14ac:dyDescent="0.3">
      <c r="A6">
        <v>5</v>
      </c>
      <c r="B6" t="s">
        <v>56</v>
      </c>
      <c r="C6" t="s">
        <v>55</v>
      </c>
      <c r="D6">
        <v>2025</v>
      </c>
      <c r="E6" s="9" t="s">
        <v>152</v>
      </c>
      <c r="G6" t="s">
        <v>219</v>
      </c>
    </row>
    <row r="7" spans="1:7" x14ac:dyDescent="0.3">
      <c r="A7">
        <v>6</v>
      </c>
      <c r="B7" t="s">
        <v>74</v>
      </c>
      <c r="C7" t="s">
        <v>73</v>
      </c>
      <c r="D7">
        <v>2024</v>
      </c>
      <c r="E7" t="s">
        <v>75</v>
      </c>
      <c r="G7" t="s">
        <v>219</v>
      </c>
    </row>
    <row r="8" spans="1:7" x14ac:dyDescent="0.3">
      <c r="A8">
        <v>7</v>
      </c>
      <c r="B8" t="s">
        <v>85</v>
      </c>
      <c r="C8" t="s">
        <v>84</v>
      </c>
      <c r="D8">
        <v>2024</v>
      </c>
      <c r="E8" s="9" t="s">
        <v>86</v>
      </c>
      <c r="G8" t="s">
        <v>219</v>
      </c>
    </row>
    <row r="9" spans="1:7" x14ac:dyDescent="0.3">
      <c r="A9">
        <v>8</v>
      </c>
      <c r="B9" t="s">
        <v>93</v>
      </c>
      <c r="C9" t="s">
        <v>92</v>
      </c>
      <c r="D9">
        <v>2026</v>
      </c>
      <c r="E9" s="9" t="s">
        <v>91</v>
      </c>
      <c r="G9" t="s">
        <v>219</v>
      </c>
    </row>
    <row r="10" spans="1:7" x14ac:dyDescent="0.3">
      <c r="A10">
        <v>9</v>
      </c>
      <c r="B10" t="s">
        <v>98</v>
      </c>
      <c r="C10" t="s">
        <v>97</v>
      </c>
      <c r="D10">
        <v>2024</v>
      </c>
      <c r="E10" s="9" t="s">
        <v>99</v>
      </c>
      <c r="G10" t="s">
        <v>219</v>
      </c>
    </row>
    <row r="11" spans="1:7" x14ac:dyDescent="0.3">
      <c r="A11">
        <v>10</v>
      </c>
      <c r="B11" t="s">
        <v>104</v>
      </c>
      <c r="C11" t="s">
        <v>103</v>
      </c>
      <c r="E11" s="9" t="s">
        <v>105</v>
      </c>
      <c r="G11" t="s">
        <v>219</v>
      </c>
    </row>
    <row r="12" spans="1:7" x14ac:dyDescent="0.3">
      <c r="A12">
        <v>11</v>
      </c>
      <c r="B12" t="s">
        <v>110</v>
      </c>
      <c r="C12" t="s">
        <v>109</v>
      </c>
      <c r="D12">
        <v>2025</v>
      </c>
      <c r="E12" s="9" t="s">
        <v>108</v>
      </c>
      <c r="G12" t="s">
        <v>219</v>
      </c>
    </row>
    <row r="13" spans="1:7" x14ac:dyDescent="0.3">
      <c r="A13">
        <v>12</v>
      </c>
      <c r="B13" t="s">
        <v>116</v>
      </c>
      <c r="C13" t="s">
        <v>115</v>
      </c>
      <c r="D13">
        <v>2024</v>
      </c>
      <c r="E13" s="9" t="s">
        <v>114</v>
      </c>
      <c r="G13" t="s">
        <v>219</v>
      </c>
    </row>
    <row r="14" spans="1:7" x14ac:dyDescent="0.3">
      <c r="A14">
        <v>13</v>
      </c>
      <c r="B14" t="s">
        <v>162</v>
      </c>
      <c r="C14" t="s">
        <v>161</v>
      </c>
      <c r="D14">
        <v>2024</v>
      </c>
      <c r="E14" s="9" t="s">
        <v>163</v>
      </c>
      <c r="F14" t="s">
        <v>171</v>
      </c>
      <c r="G14" t="s">
        <v>219</v>
      </c>
    </row>
    <row r="15" spans="1:7" x14ac:dyDescent="0.3">
      <c r="A15">
        <v>14</v>
      </c>
      <c r="B15" t="s">
        <v>172</v>
      </c>
      <c r="C15" t="s">
        <v>173</v>
      </c>
      <c r="D15">
        <v>2025</v>
      </c>
      <c r="E15" t="s">
        <v>174</v>
      </c>
      <c r="F15" t="s">
        <v>254</v>
      </c>
      <c r="G15" t="s">
        <v>253</v>
      </c>
    </row>
    <row r="16" spans="1:7" x14ac:dyDescent="0.3">
      <c r="A16">
        <v>15</v>
      </c>
      <c r="B16" t="s">
        <v>194</v>
      </c>
      <c r="C16" t="s">
        <v>205</v>
      </c>
      <c r="D16">
        <v>2026</v>
      </c>
      <c r="E16" t="s">
        <v>195</v>
      </c>
      <c r="F16" t="s">
        <v>201</v>
      </c>
      <c r="G16" s="13" t="s">
        <v>255</v>
      </c>
    </row>
    <row r="17" spans="1:7" x14ac:dyDescent="0.3">
      <c r="A17">
        <v>16</v>
      </c>
      <c r="B17" t="s">
        <v>207</v>
      </c>
      <c r="C17" t="s">
        <v>206</v>
      </c>
      <c r="D17">
        <v>2023</v>
      </c>
      <c r="E17" s="9" t="s">
        <v>216</v>
      </c>
      <c r="F17" t="s">
        <v>212</v>
      </c>
      <c r="G17" t="s">
        <v>41</v>
      </c>
    </row>
    <row r="18" spans="1:7" x14ac:dyDescent="0.3">
      <c r="A18">
        <v>17</v>
      </c>
      <c r="B18" t="s">
        <v>214</v>
      </c>
      <c r="C18" t="s">
        <v>213</v>
      </c>
      <c r="D18">
        <v>2024</v>
      </c>
      <c r="E18" s="9" t="s">
        <v>215</v>
      </c>
      <c r="G18" s="13" t="s">
        <v>255</v>
      </c>
    </row>
  </sheetData>
  <hyperlinks>
    <hyperlink ref="E6" r:id="rId1" xr:uid="{E5BA907A-FE43-4B70-A72C-081AA28E4B1E}"/>
    <hyperlink ref="E4" r:id="rId2" xr:uid="{2727DAFA-9487-4E1D-ABE8-D76E8CAEEE8A}"/>
    <hyperlink ref="E14" r:id="rId3" xr:uid="{6CD10E64-0BD7-443C-BA6E-200EAC936486}"/>
    <hyperlink ref="E18" r:id="rId4" xr:uid="{BC6A32F8-0D4B-4755-8736-16E7E99B7AC3}"/>
    <hyperlink ref="E17" r:id="rId5" xr:uid="{C0D2CA03-4CBB-4941-BB8F-85E6FDBC5DBC}"/>
    <hyperlink ref="E10" r:id="rId6" xr:uid="{02284F35-FD7C-4EF7-B2B0-8E8210E6CAA8}"/>
    <hyperlink ref="E11" r:id="rId7" xr:uid="{089792D5-7F66-45F1-A133-B34AB4437AAD}"/>
    <hyperlink ref="E5" r:id="rId8" xr:uid="{10B88D80-77C1-459E-9D11-D926BC8A6D4D}"/>
    <hyperlink ref="E8" r:id="rId9" xr:uid="{4E93573F-B1FC-4D46-B748-9981AB0C12A2}"/>
    <hyperlink ref="E9" r:id="rId10" xr:uid="{91EF18DA-A4AA-4D00-B6F6-AA1EA5DDD256}"/>
    <hyperlink ref="E12" r:id="rId11" xr:uid="{3DC16A3A-AB32-45B6-BBED-D1DE2DCB2C99}"/>
    <hyperlink ref="E13" r:id="rId12" xr:uid="{144BB6AA-9FAF-4EB7-A8EA-A89637CC075E}"/>
  </hyperlinks>
  <pageMargins left="0.7" right="0.7" top="0.75" bottom="0.75" header="0.3" footer="0.3"/>
  <pageSetup orientation="portrait" r:id="rId13"/>
  <tableParts count="1">
    <tablePart r:id="rId1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9F9E47-5624-4C13-AD0E-E0968193DC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Metadata</vt:lpstr>
      <vt:lpstr>Analysis</vt:lpstr>
      <vt:lpstr>Database</vt:lpstr>
      <vt:lpstr>Vera2023_DLE</vt:lpstr>
      <vt:lpstr>Conversion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Busch</dc:creator>
  <cp:lastModifiedBy>Pablo Busch</cp:lastModifiedBy>
  <dcterms:created xsi:type="dcterms:W3CDTF">2025-10-17T17:55:38Z</dcterms:created>
  <dcterms:modified xsi:type="dcterms:W3CDTF">2026-08-11T19:45:20Z</dcterms:modified>
</cp:coreProperties>
</file>