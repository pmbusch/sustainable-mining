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Pablo\Programming\R\R Stanford\sustainable-mining\Inputs\"/>
    </mc:Choice>
  </mc:AlternateContent>
  <xr:revisionPtr revIDLastSave="0" documentId="13_ncr:1_{50BB62D2-1D61-422F-AF69-C5B40D6360C2}" xr6:coauthVersionLast="47" xr6:coauthVersionMax="47" xr10:uidLastSave="{00000000-0000-0000-0000-000000000000}"/>
  <bookViews>
    <workbookView xWindow="-108" yWindow="-108" windowWidth="24792" windowHeight="14856" activeTab="2" xr2:uid="{E771C158-911E-42C0-827B-D5D37CD07A6C}"/>
  </bookViews>
  <sheets>
    <sheet name="Analysis" sheetId="6" r:id="rId1"/>
    <sheet name="TD_Table1" sheetId="8" r:id="rId2"/>
    <sheet name="Data" sheetId="1" r:id="rId3"/>
    <sheet name="References" sheetId="2" r:id="rId4"/>
    <sheet name="Unit_Normalization" sheetId="5" r:id="rId5"/>
    <sheet name="Northey2013" sheetId="3" r:id="rId6"/>
    <sheet name="Lutter2025" sheetId="4" r:id="rId7"/>
    <sheet name="Pena 2014" sheetId="7" r:id="rId8"/>
  </sheets>
  <definedNames>
    <definedName name="_xlnm._FilterDatabase" localSheetId="6" hidden="1">Lutter2025!$A$1:$J$41</definedName>
  </definedNames>
  <calcPr calcId="191029"/>
  <pivotCaches>
    <pivotCache cacheId="1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6" i="1" l="1"/>
  <c r="J102" i="1"/>
  <c r="P102" i="1"/>
  <c r="Q102" i="1"/>
  <c r="R102" i="1" s="1"/>
  <c r="J101" i="1"/>
  <c r="P101" i="1"/>
  <c r="Q101" i="1"/>
  <c r="R101" i="1" s="1"/>
  <c r="H100" i="1"/>
  <c r="H99" i="1"/>
  <c r="H98" i="1"/>
  <c r="P100" i="1"/>
  <c r="Q100" i="1"/>
  <c r="P99" i="1"/>
  <c r="Q99" i="1"/>
  <c r="R99" i="1" s="1"/>
  <c r="P98" i="1"/>
  <c r="Q98" i="1"/>
  <c r="J97" i="1"/>
  <c r="Q97" i="1" s="1"/>
  <c r="R97" i="1" s="1"/>
  <c r="J96" i="1"/>
  <c r="Q96" i="1" s="1"/>
  <c r="R96" i="1" s="1"/>
  <c r="J95" i="1"/>
  <c r="Q95" i="1" s="1"/>
  <c r="R95" i="1" s="1"/>
  <c r="J94" i="1"/>
  <c r="A7" i="5"/>
  <c r="Q94" i="1" s="1"/>
  <c r="R94" i="1" s="1"/>
  <c r="P97" i="1"/>
  <c r="P96" i="1"/>
  <c r="P95" i="1"/>
  <c r="P94" i="1"/>
  <c r="J93" i="1"/>
  <c r="Q93" i="1" s="1"/>
  <c r="R93" i="1" s="1"/>
  <c r="J92" i="1"/>
  <c r="Q92" i="1" s="1"/>
  <c r="R92" i="1" s="1"/>
  <c r="A6" i="5"/>
  <c r="P93" i="1"/>
  <c r="J90" i="1"/>
  <c r="Q90" i="1" s="1"/>
  <c r="R90" i="1" s="1"/>
  <c r="P92" i="1"/>
  <c r="P91" i="1"/>
  <c r="Q91" i="1"/>
  <c r="R91" i="1" s="1"/>
  <c r="P90" i="1"/>
  <c r="R98" i="1" l="1"/>
  <c r="R100" i="1"/>
  <c r="A5" i="5"/>
  <c r="H83" i="1"/>
  <c r="J83" i="1"/>
  <c r="Q83" i="1" s="1"/>
  <c r="R83" i="1" s="1"/>
  <c r="H84" i="1"/>
  <c r="J84" i="1"/>
  <c r="Q84" i="1" s="1"/>
  <c r="R84" i="1" s="1"/>
  <c r="H85" i="1"/>
  <c r="J85" i="1"/>
  <c r="H86" i="1"/>
  <c r="J86" i="1"/>
  <c r="H87" i="1"/>
  <c r="J87" i="1"/>
  <c r="Q87" i="1" s="1"/>
  <c r="R87" i="1" s="1"/>
  <c r="H88" i="1"/>
  <c r="J88" i="1"/>
  <c r="Q88" i="1" s="1"/>
  <c r="R88" i="1" s="1"/>
  <c r="H89" i="1"/>
  <c r="J89" i="1"/>
  <c r="Q89" i="1" s="1"/>
  <c r="R89" i="1" s="1"/>
  <c r="J82" i="1"/>
  <c r="Q82" i="1" s="1"/>
  <c r="H82" i="1"/>
  <c r="D89" i="1"/>
  <c r="P89" i="1"/>
  <c r="D83" i="1"/>
  <c r="D84" i="1"/>
  <c r="D85" i="1"/>
  <c r="D86" i="1"/>
  <c r="D87" i="1"/>
  <c r="D88" i="1"/>
  <c r="P85" i="1"/>
  <c r="P86" i="1"/>
  <c r="P87" i="1"/>
  <c r="P88" i="1"/>
  <c r="Q85" i="1"/>
  <c r="R85" i="1" s="1"/>
  <c r="Q86" i="1"/>
  <c r="R86" i="1" s="1"/>
  <c r="D82" i="1"/>
  <c r="H70" i="1"/>
  <c r="J70" i="1"/>
  <c r="Q70" i="1" s="1"/>
  <c r="R70" i="1" s="1"/>
  <c r="H71" i="1"/>
  <c r="J71" i="1"/>
  <c r="H72" i="1"/>
  <c r="J72" i="1"/>
  <c r="H73" i="1"/>
  <c r="J73" i="1"/>
  <c r="Q73" i="1" s="1"/>
  <c r="R73" i="1" s="1"/>
  <c r="H74" i="1"/>
  <c r="J74" i="1"/>
  <c r="Q74" i="1" s="1"/>
  <c r="R74" i="1" s="1"/>
  <c r="H75" i="1"/>
  <c r="J75" i="1"/>
  <c r="H76" i="1"/>
  <c r="J76" i="1"/>
  <c r="Q76" i="1" s="1"/>
  <c r="R76" i="1" s="1"/>
  <c r="H77" i="1"/>
  <c r="J77" i="1"/>
  <c r="Q77" i="1" s="1"/>
  <c r="R77" i="1" s="1"/>
  <c r="H78" i="1"/>
  <c r="J78" i="1"/>
  <c r="Q78" i="1" s="1"/>
  <c r="R78" i="1" s="1"/>
  <c r="H79" i="1"/>
  <c r="J79" i="1"/>
  <c r="Q79" i="1" s="1"/>
  <c r="R79" i="1" s="1"/>
  <c r="H80" i="1"/>
  <c r="J80" i="1"/>
  <c r="Q80" i="1" s="1"/>
  <c r="R80" i="1" s="1"/>
  <c r="H81" i="1"/>
  <c r="J81" i="1"/>
  <c r="Q81" i="1" s="1"/>
  <c r="R81" i="1" s="1"/>
  <c r="J69" i="1"/>
  <c r="Q69" i="1" s="1"/>
  <c r="R69" i="1" s="1"/>
  <c r="H69" i="1"/>
  <c r="D70" i="1"/>
  <c r="D71" i="1"/>
  <c r="D72" i="1"/>
  <c r="D73" i="1"/>
  <c r="D74" i="1"/>
  <c r="D75" i="1"/>
  <c r="D76" i="1"/>
  <c r="D77" i="1"/>
  <c r="D78" i="1"/>
  <c r="D79" i="1"/>
  <c r="D80" i="1"/>
  <c r="D81" i="1"/>
  <c r="P71" i="1"/>
  <c r="P72" i="1"/>
  <c r="P73" i="1"/>
  <c r="P74" i="1"/>
  <c r="P75" i="1"/>
  <c r="P76" i="1"/>
  <c r="P77" i="1"/>
  <c r="P78" i="1"/>
  <c r="P79" i="1"/>
  <c r="P80" i="1"/>
  <c r="P81" i="1"/>
  <c r="P82" i="1"/>
  <c r="P83" i="1"/>
  <c r="P84" i="1"/>
  <c r="Q71" i="1"/>
  <c r="R71" i="1" s="1"/>
  <c r="Q72" i="1"/>
  <c r="R72" i="1" s="1"/>
  <c r="Q75" i="1"/>
  <c r="R75" i="1" s="1"/>
  <c r="D69" i="1"/>
  <c r="P70" i="1"/>
  <c r="P69" i="1"/>
  <c r="A4" i="5"/>
  <c r="Q68" i="1" s="1"/>
  <c r="R68" i="1" s="1"/>
  <c r="P68" i="1"/>
  <c r="R82" i="1" l="1"/>
  <c r="Q3" i="1"/>
  <c r="Q4" i="1"/>
  <c r="Q5" i="1"/>
  <c r="Q6" i="1"/>
  <c r="Q7" i="1"/>
  <c r="Q8" i="1"/>
  <c r="Q9" i="1"/>
  <c r="R9" i="1" s="1"/>
  <c r="Q10" i="1"/>
  <c r="R10" i="1" s="1"/>
  <c r="Q11" i="1"/>
  <c r="Q12" i="1"/>
  <c r="Q13" i="1"/>
  <c r="Q14" i="1"/>
  <c r="R14" i="1" s="1"/>
  <c r="Q15" i="1"/>
  <c r="R15" i="1" s="1"/>
  <c r="Q16" i="1"/>
  <c r="Q17" i="1"/>
  <c r="Q18" i="1"/>
  <c r="R18" i="1" s="1"/>
  <c r="Q19" i="1"/>
  <c r="R19" i="1" s="1"/>
  <c r="Q20" i="1"/>
  <c r="R20" i="1" s="1"/>
  <c r="Q21" i="1"/>
  <c r="R21" i="1" s="1"/>
  <c r="Q22" i="1"/>
  <c r="R22" i="1" s="1"/>
  <c r="Q23" i="1"/>
  <c r="R23" i="1" s="1"/>
  <c r="Q24" i="1"/>
  <c r="Q25" i="1"/>
  <c r="Q26" i="1"/>
  <c r="Q27" i="1"/>
  <c r="Q28" i="1"/>
  <c r="Q29" i="1"/>
  <c r="Q30" i="1"/>
  <c r="Q31" i="1"/>
  <c r="R31" i="1" s="1"/>
  <c r="Q32" i="1"/>
  <c r="R32" i="1" s="1"/>
  <c r="Q2" i="1"/>
  <c r="R2" i="1" s="1"/>
  <c r="A3" i="5"/>
  <c r="A2" i="5"/>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7" i="1"/>
  <c r="G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33" i="1"/>
  <c r="D34" i="1"/>
  <c r="F34" i="1"/>
  <c r="J34" i="1"/>
  <c r="Q34" i="1" s="1"/>
  <c r="R34" i="1" s="1"/>
  <c r="P34" i="1"/>
  <c r="D35" i="1"/>
  <c r="F35" i="1"/>
  <c r="J35" i="1"/>
  <c r="Q35" i="1" s="1"/>
  <c r="R35" i="1" s="1"/>
  <c r="P35" i="1"/>
  <c r="D36" i="1"/>
  <c r="F36" i="1"/>
  <c r="J36" i="1"/>
  <c r="Q36" i="1" s="1"/>
  <c r="R36" i="1" s="1"/>
  <c r="P36" i="1"/>
  <c r="D37" i="1"/>
  <c r="F37" i="1"/>
  <c r="J37" i="1"/>
  <c r="Q37" i="1" s="1"/>
  <c r="R37" i="1" s="1"/>
  <c r="P37" i="1"/>
  <c r="D38" i="1"/>
  <c r="F38" i="1"/>
  <c r="J38" i="1"/>
  <c r="Q38" i="1" s="1"/>
  <c r="R38" i="1" s="1"/>
  <c r="P38" i="1"/>
  <c r="D39" i="1"/>
  <c r="F39" i="1"/>
  <c r="J39" i="1"/>
  <c r="Q39" i="1" s="1"/>
  <c r="R39" i="1" s="1"/>
  <c r="P39" i="1"/>
  <c r="D40" i="1"/>
  <c r="F40" i="1"/>
  <c r="J40" i="1"/>
  <c r="Q40" i="1" s="1"/>
  <c r="R40" i="1" s="1"/>
  <c r="P40" i="1"/>
  <c r="D41" i="1"/>
  <c r="F41" i="1"/>
  <c r="J41" i="1"/>
  <c r="Q41" i="1" s="1"/>
  <c r="R41" i="1" s="1"/>
  <c r="P41" i="1"/>
  <c r="D42" i="1"/>
  <c r="F42" i="1"/>
  <c r="J42" i="1"/>
  <c r="Q42" i="1" s="1"/>
  <c r="R42" i="1" s="1"/>
  <c r="P42" i="1"/>
  <c r="D43" i="1"/>
  <c r="F43" i="1"/>
  <c r="J43" i="1"/>
  <c r="Q43" i="1" s="1"/>
  <c r="P43" i="1"/>
  <c r="D44" i="1"/>
  <c r="F44" i="1"/>
  <c r="J44" i="1"/>
  <c r="Q44" i="1" s="1"/>
  <c r="P44" i="1"/>
  <c r="D45" i="1"/>
  <c r="F45" i="1"/>
  <c r="J45" i="1"/>
  <c r="Q45" i="1" s="1"/>
  <c r="R45" i="1" s="1"/>
  <c r="P45" i="1"/>
  <c r="D46" i="1"/>
  <c r="F46" i="1"/>
  <c r="J46" i="1"/>
  <c r="Q46" i="1" s="1"/>
  <c r="R46" i="1" s="1"/>
  <c r="P46" i="1"/>
  <c r="D47" i="1"/>
  <c r="F47" i="1"/>
  <c r="J47" i="1"/>
  <c r="Q47" i="1" s="1"/>
  <c r="R47" i="1" s="1"/>
  <c r="P47" i="1"/>
  <c r="D48" i="1"/>
  <c r="F48" i="1"/>
  <c r="J48" i="1"/>
  <c r="Q48" i="1" s="1"/>
  <c r="R48" i="1" s="1"/>
  <c r="P48" i="1"/>
  <c r="D49" i="1"/>
  <c r="F49" i="1"/>
  <c r="J49" i="1"/>
  <c r="Q49" i="1" s="1"/>
  <c r="R49" i="1" s="1"/>
  <c r="P49" i="1"/>
  <c r="D50" i="1"/>
  <c r="F50" i="1"/>
  <c r="J50" i="1"/>
  <c r="Q50" i="1" s="1"/>
  <c r="R50" i="1" s="1"/>
  <c r="P50" i="1"/>
  <c r="D51" i="1"/>
  <c r="F51" i="1"/>
  <c r="J51" i="1"/>
  <c r="Q51" i="1" s="1"/>
  <c r="R51" i="1" s="1"/>
  <c r="P51" i="1"/>
  <c r="D52" i="1"/>
  <c r="F52" i="1"/>
  <c r="J52" i="1"/>
  <c r="Q52" i="1" s="1"/>
  <c r="R52" i="1" s="1"/>
  <c r="P52" i="1"/>
  <c r="D53" i="1"/>
  <c r="F53" i="1"/>
  <c r="J53" i="1"/>
  <c r="Q53" i="1" s="1"/>
  <c r="R53" i="1" s="1"/>
  <c r="P53" i="1"/>
  <c r="D54" i="1"/>
  <c r="F54" i="1"/>
  <c r="J54" i="1"/>
  <c r="Q54" i="1" s="1"/>
  <c r="R54" i="1" s="1"/>
  <c r="P54" i="1"/>
  <c r="D55" i="1"/>
  <c r="F55" i="1"/>
  <c r="J55" i="1"/>
  <c r="Q55" i="1" s="1"/>
  <c r="R55" i="1" s="1"/>
  <c r="P55" i="1"/>
  <c r="D56" i="1"/>
  <c r="F56" i="1"/>
  <c r="J56" i="1"/>
  <c r="Q56" i="1" s="1"/>
  <c r="R56" i="1" s="1"/>
  <c r="P56" i="1"/>
  <c r="D57" i="1"/>
  <c r="F57" i="1"/>
  <c r="J57" i="1"/>
  <c r="Q57" i="1" s="1"/>
  <c r="R57" i="1" s="1"/>
  <c r="P57" i="1"/>
  <c r="D58" i="1"/>
  <c r="F58" i="1"/>
  <c r="J58" i="1"/>
  <c r="Q58" i="1" s="1"/>
  <c r="R58" i="1" s="1"/>
  <c r="P58" i="1"/>
  <c r="D59" i="1"/>
  <c r="F59" i="1"/>
  <c r="J59" i="1"/>
  <c r="Q59" i="1" s="1"/>
  <c r="R59" i="1" s="1"/>
  <c r="P59" i="1"/>
  <c r="D60" i="1"/>
  <c r="F60" i="1"/>
  <c r="J60" i="1"/>
  <c r="Q60" i="1" s="1"/>
  <c r="R60" i="1" s="1"/>
  <c r="P60" i="1"/>
  <c r="D61" i="1"/>
  <c r="F61" i="1"/>
  <c r="J61" i="1"/>
  <c r="Q61" i="1" s="1"/>
  <c r="R61" i="1" s="1"/>
  <c r="P61" i="1"/>
  <c r="D62" i="1"/>
  <c r="F62" i="1"/>
  <c r="J62" i="1"/>
  <c r="Q62" i="1" s="1"/>
  <c r="R62" i="1" s="1"/>
  <c r="P62" i="1"/>
  <c r="D63" i="1"/>
  <c r="F63" i="1"/>
  <c r="J63" i="1"/>
  <c r="Q63" i="1" s="1"/>
  <c r="R63" i="1" s="1"/>
  <c r="P63" i="1"/>
  <c r="D64" i="1"/>
  <c r="F64" i="1"/>
  <c r="J64" i="1"/>
  <c r="Q64" i="1" s="1"/>
  <c r="R64" i="1" s="1"/>
  <c r="P64" i="1"/>
  <c r="D65" i="1"/>
  <c r="F65" i="1"/>
  <c r="J65" i="1"/>
  <c r="Q65" i="1" s="1"/>
  <c r="R65" i="1" s="1"/>
  <c r="P65" i="1"/>
  <c r="D66" i="1"/>
  <c r="F66" i="1"/>
  <c r="J66" i="1"/>
  <c r="Q66" i="1" s="1"/>
  <c r="R66" i="1" s="1"/>
  <c r="P66" i="1"/>
  <c r="D67" i="1"/>
  <c r="F67" i="1"/>
  <c r="J67" i="1"/>
  <c r="Q67" i="1" s="1"/>
  <c r="R67" i="1" s="1"/>
  <c r="P67" i="1"/>
  <c r="P33" i="1"/>
  <c r="J33" i="1"/>
  <c r="Q33" i="1" s="1"/>
  <c r="R33" i="1" s="1"/>
  <c r="F33" i="1"/>
  <c r="D33"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2" i="1"/>
  <c r="C3" i="1"/>
  <c r="D3" i="1"/>
  <c r="E3" i="1"/>
  <c r="G3" i="1"/>
  <c r="H3" i="1"/>
  <c r="C4" i="1"/>
  <c r="D4" i="1"/>
  <c r="E4" i="1"/>
  <c r="G4" i="1"/>
  <c r="H4" i="1"/>
  <c r="C5" i="1"/>
  <c r="D5" i="1"/>
  <c r="E5" i="1"/>
  <c r="G5" i="1"/>
  <c r="H5" i="1"/>
  <c r="C6" i="1"/>
  <c r="D6" i="1"/>
  <c r="E6" i="1"/>
  <c r="G6" i="1"/>
  <c r="H6" i="1"/>
  <c r="C7" i="1"/>
  <c r="D7" i="1"/>
  <c r="E7" i="1"/>
  <c r="G7" i="1"/>
  <c r="H7" i="1"/>
  <c r="C8" i="1"/>
  <c r="D8" i="1"/>
  <c r="E8" i="1"/>
  <c r="G8" i="1"/>
  <c r="H8" i="1"/>
  <c r="C9" i="1"/>
  <c r="D9" i="1"/>
  <c r="E9" i="1"/>
  <c r="G9" i="1"/>
  <c r="H9" i="1"/>
  <c r="C10" i="1"/>
  <c r="D10" i="1"/>
  <c r="E10" i="1"/>
  <c r="G10" i="1"/>
  <c r="H10" i="1"/>
  <c r="C11" i="1"/>
  <c r="D11" i="1"/>
  <c r="E11" i="1"/>
  <c r="G11" i="1"/>
  <c r="H11" i="1"/>
  <c r="C12" i="1"/>
  <c r="D12" i="1"/>
  <c r="E12" i="1"/>
  <c r="G12" i="1"/>
  <c r="H12" i="1"/>
  <c r="C13" i="1"/>
  <c r="D13" i="1"/>
  <c r="E13" i="1"/>
  <c r="G13" i="1"/>
  <c r="H13" i="1"/>
  <c r="C14" i="1"/>
  <c r="D14" i="1"/>
  <c r="E14" i="1"/>
  <c r="G14" i="1"/>
  <c r="H14" i="1"/>
  <c r="C15" i="1"/>
  <c r="D15" i="1"/>
  <c r="E15" i="1"/>
  <c r="G15" i="1"/>
  <c r="H15" i="1"/>
  <c r="C16" i="1"/>
  <c r="D16" i="1"/>
  <c r="E16" i="1"/>
  <c r="G16" i="1"/>
  <c r="H16" i="1"/>
  <c r="C17" i="1"/>
  <c r="D17" i="1"/>
  <c r="E17" i="1"/>
  <c r="G17" i="1"/>
  <c r="H17" i="1"/>
  <c r="C18" i="1"/>
  <c r="D18" i="1"/>
  <c r="E18" i="1"/>
  <c r="G18" i="1"/>
  <c r="H18" i="1"/>
  <c r="C19" i="1"/>
  <c r="D19" i="1"/>
  <c r="E19" i="1"/>
  <c r="G19" i="1"/>
  <c r="H19" i="1"/>
  <c r="C20" i="1"/>
  <c r="D20" i="1"/>
  <c r="E20" i="1"/>
  <c r="G20" i="1"/>
  <c r="H20" i="1"/>
  <c r="C21" i="1"/>
  <c r="D21" i="1"/>
  <c r="E21" i="1"/>
  <c r="G21" i="1"/>
  <c r="H21" i="1"/>
  <c r="C22" i="1"/>
  <c r="D22" i="1"/>
  <c r="E22" i="1"/>
  <c r="G22" i="1"/>
  <c r="H22" i="1"/>
  <c r="C23" i="1"/>
  <c r="D23" i="1"/>
  <c r="E23" i="1"/>
  <c r="G23" i="1"/>
  <c r="H23" i="1"/>
  <c r="C24" i="1"/>
  <c r="D24" i="1"/>
  <c r="E24" i="1"/>
  <c r="G24" i="1"/>
  <c r="H24" i="1"/>
  <c r="C25" i="1"/>
  <c r="D25" i="1"/>
  <c r="E25" i="1"/>
  <c r="G25" i="1"/>
  <c r="H25" i="1"/>
  <c r="C26" i="1"/>
  <c r="D26" i="1"/>
  <c r="E26" i="1"/>
  <c r="G26" i="1"/>
  <c r="H26" i="1"/>
  <c r="C27" i="1"/>
  <c r="D27" i="1"/>
  <c r="E27" i="1"/>
  <c r="G27" i="1"/>
  <c r="H27" i="1"/>
  <c r="C28" i="1"/>
  <c r="D28" i="1"/>
  <c r="E28" i="1"/>
  <c r="G28" i="1"/>
  <c r="H28" i="1"/>
  <c r="C29" i="1"/>
  <c r="D29" i="1"/>
  <c r="E29" i="1"/>
  <c r="G29" i="1"/>
  <c r="H29" i="1"/>
  <c r="C30" i="1"/>
  <c r="D30" i="1"/>
  <c r="E30" i="1"/>
  <c r="G30" i="1"/>
  <c r="H30" i="1"/>
  <c r="C31" i="1"/>
  <c r="D31" i="1"/>
  <c r="E31" i="1"/>
  <c r="G31" i="1"/>
  <c r="H31" i="1"/>
  <c r="C32" i="1"/>
  <c r="D32" i="1"/>
  <c r="E32" i="1"/>
  <c r="G32" i="1"/>
  <c r="H32" i="1"/>
  <c r="C2" i="1"/>
  <c r="H2" i="1"/>
  <c r="E2" i="1"/>
  <c r="G2" i="1"/>
  <c r="D2" i="1"/>
  <c r="R13" i="1" l="1"/>
  <c r="R16" i="1"/>
  <c r="R12" i="1"/>
  <c r="R11" i="1"/>
  <c r="R30" i="1"/>
  <c r="R8" i="1"/>
  <c r="R29" i="1"/>
  <c r="R7" i="1"/>
  <c r="R26" i="1"/>
  <c r="R4" i="1"/>
  <c r="R28" i="1"/>
  <c r="R5" i="1"/>
  <c r="R25" i="1"/>
  <c r="R3" i="1"/>
  <c r="R17" i="1"/>
  <c r="R6" i="1"/>
  <c r="R27" i="1"/>
  <c r="R24" i="1"/>
</calcChain>
</file>

<file path=xl/sharedStrings.xml><?xml version="1.0" encoding="utf-8"?>
<sst xmlns="http://schemas.openxmlformats.org/spreadsheetml/2006/main" count="1471" uniqueCount="484">
  <si>
    <t>Deposit</t>
  </si>
  <si>
    <t>Name</t>
  </si>
  <si>
    <t>Ref_grade</t>
  </si>
  <si>
    <t>Freshwater</t>
  </si>
  <si>
    <t>Unit num</t>
  </si>
  <si>
    <t>Unit den</t>
  </si>
  <si>
    <t>Detail</t>
  </si>
  <si>
    <t>Water type</t>
  </si>
  <si>
    <t>Ref_Water</t>
  </si>
  <si>
    <t>Ref_Water2</t>
  </si>
  <si>
    <t>TotalWater_m3_tonCu</t>
  </si>
  <si>
    <t>Grade ore Cu%</t>
  </si>
  <si>
    <t>ID</t>
  </si>
  <si>
    <t>Full cite</t>
  </si>
  <si>
    <t>Year</t>
  </si>
  <si>
    <t>DOI</t>
  </si>
  <si>
    <t>Notes</t>
  </si>
  <si>
    <r>
      <t>Northey, S., Haque, N., &amp; Mudd, G. (2013). Using sustainability reporting to assess the environmental footprint of copper mining. </t>
    </r>
    <r>
      <rPr>
        <i/>
        <sz val="8"/>
        <color rgb="FF222222"/>
        <rFont val="Arial"/>
        <family val="2"/>
      </rPr>
      <t>Journal of Cleaner Production</t>
    </r>
    <r>
      <rPr>
        <sz val="8"/>
        <color rgb="FF222222"/>
        <rFont val="Arial"/>
        <family val="2"/>
      </rPr>
      <t>, </t>
    </r>
    <r>
      <rPr>
        <i/>
        <sz val="8"/>
        <color rgb="FF222222"/>
        <rFont val="Arial"/>
        <family val="2"/>
      </rPr>
      <t>40</t>
    </r>
    <r>
      <rPr>
        <sz val="8"/>
        <color rgb="FF222222"/>
        <rFont val="Arial"/>
        <family val="2"/>
      </rPr>
      <t>, 118-128.</t>
    </r>
  </si>
  <si>
    <t>Extensive amount of data on copper projects, but from 10 years ago.</t>
  </si>
  <si>
    <t>Operation</t>
  </si>
  <si>
    <t>Operating company</t>
  </si>
  <si>
    <t>Deposit type</t>
  </si>
  <si>
    <t>Metals extracted</t>
  </si>
  <si>
    <t>Mine type</t>
  </si>
  <si>
    <t>Process</t>
  </si>
  <si>
    <t>kt ore/yr</t>
  </si>
  <si>
    <t>% Cu</t>
  </si>
  <si>
    <t>t Cu/year</t>
  </si>
  <si>
    <t>Electricity source</t>
  </si>
  <si>
    <t>Direct</t>
  </si>
  <si>
    <t>GJ/t Cu</t>
  </si>
  <si>
    <t>Indirect GJ/t Cu</t>
  </si>
  <si>
    <t>Total GJ/t Cu</t>
  </si>
  <si>
    <t>Total</t>
  </si>
  <si>
    <r>
      <t>t CO</t>
    </r>
    <r>
      <rPr>
        <b/>
        <sz val="6"/>
        <color rgb="FF1F1F1F"/>
        <rFont val="Georgia"/>
        <family val="1"/>
      </rPr>
      <t>2−e</t>
    </r>
    <r>
      <rPr>
        <b/>
        <sz val="8"/>
        <color rgb="FF1F1F1F"/>
        <rFont val="Georgia"/>
        <family val="1"/>
      </rPr>
      <t>/t Cu</t>
    </r>
  </si>
  <si>
    <t>kL/t Cu</t>
  </si>
  <si>
    <t>Weighting Cu %</t>
  </si>
  <si>
    <t>Period</t>
  </si>
  <si>
    <t>Australia</t>
  </si>
  <si>
    <t>Cadia-Ridgeway</t>
  </si>
  <si>
    <t>Newcrest</t>
  </si>
  <si>
    <t>Porphyry</t>
  </si>
  <si>
    <t>Au–Cu</t>
  </si>
  <si>
    <t>O/U</t>
  </si>
  <si>
    <t>MC</t>
  </si>
  <si>
    <t>Coal</t>
  </si>
  <si>
    <t>12.4(7)</t>
  </si>
  <si>
    <t>16.0(7)</t>
  </si>
  <si>
    <t>28.4(7)</t>
  </si>
  <si>
    <t>5.2(7)</t>
  </si>
  <si>
    <t>49.0(7)</t>
  </si>
  <si>
    <t>2003/04–2009/10</t>
  </si>
  <si>
    <t>Ernest Henry</t>
  </si>
  <si>
    <t>Xstrata</t>
  </si>
  <si>
    <t>IOCG</t>
  </si>
  <si>
    <t>Cu–Au</t>
  </si>
  <si>
    <t>OP</t>
  </si>
  <si>
    <t>Gas</t>
  </si>
  <si>
    <t>16.5(4)</t>
  </si>
  <si>
    <t>8.0(4)</t>
  </si>
  <si>
    <t>23.2(6)</t>
  </si>
  <si>
    <t>2.3(6)</t>
  </si>
  <si>
    <t>42.3(7)</t>
  </si>
  <si>
    <t>2002–2010</t>
  </si>
  <si>
    <t>Golden Grove</t>
  </si>
  <si>
    <t>MMG</t>
  </si>
  <si>
    <t>VMS</t>
  </si>
  <si>
    <t>Ag–Pb–Zn–Cu</t>
  </si>
  <si>
    <t>UG</t>
  </si>
  <si>
    <t>Hydro</t>
  </si>
  <si>
    <t>4.0(4)</t>
  </si>
  <si>
    <t>5.9(3)</t>
  </si>
  <si>
    <t>10.1(3)</t>
  </si>
  <si>
    <t>1.7(4)</t>
  </si>
  <si>
    <t>33.0(3)</t>
  </si>
  <si>
    <t>2005–2010</t>
  </si>
  <si>
    <t>Mount Isa</t>
  </si>
  <si>
    <t>SedEx</t>
  </si>
  <si>
    <t>Cu</t>
  </si>
  <si>
    <t>MCS</t>
  </si>
  <si>
    <t>Coal, gas</t>
  </si>
  <si>
    <t>10.1(4)</t>
  </si>
  <si>
    <t>12.7(4)</t>
  </si>
  <si>
    <t>21.2(6)</t>
  </si>
  <si>
    <t>2.1(6)</t>
  </si>
  <si>
    <t>19.5(7)</t>
  </si>
  <si>
    <t>Northparkes</t>
  </si>
  <si>
    <r>
      <t>Rio Tinto</t>
    </r>
    <r>
      <rPr>
        <sz val="6"/>
        <color rgb="FF1F1F1F"/>
        <rFont val="Georgia"/>
        <family val="1"/>
      </rPr>
      <t>80%</t>
    </r>
  </si>
  <si>
    <t>7.3(3)</t>
  </si>
  <si>
    <t>19.5(3)</t>
  </si>
  <si>
    <t>19.4(5)</t>
  </si>
  <si>
    <t>4.1(5)</t>
  </si>
  <si>
    <t>74.0(8)</t>
  </si>
  <si>
    <t>2003–2010</t>
  </si>
  <si>
    <t>Olympic Dam</t>
  </si>
  <si>
    <t>BHP Billiton</t>
  </si>
  <si>
    <t>Cu–Au–Ag–U</t>
  </si>
  <si>
    <t>MCSRL</t>
  </si>
  <si>
    <t>Coal, wind</t>
  </si>
  <si>
    <t>11.1(6)</t>
  </si>
  <si>
    <t>14.8(7)</t>
  </si>
  <si>
    <t>27.2(19)</t>
  </si>
  <si>
    <t>5.0(16)</t>
  </si>
  <si>
    <t>46.6(14)</t>
  </si>
  <si>
    <t>1991–2010</t>
  </si>
  <si>
    <t>Prominent Hill</t>
  </si>
  <si>
    <t>OZ Minerals</t>
  </si>
  <si>
    <t>Cu–Au–Ag</t>
  </si>
  <si>
    <t>9.0(2)</t>
  </si>
  <si>
    <t>8.7(2)</t>
  </si>
  <si>
    <t>17.7(2)</t>
  </si>
  <si>
    <t>2.2(2)</t>
  </si>
  <si>
    <t>39.8(2)</t>
  </si>
  <si>
    <t>2009–2010</t>
  </si>
  <si>
    <t>Rosebery</t>
  </si>
  <si>
    <t>Ag–Pb–Zn–Cu–Au</t>
  </si>
  <si>
    <t>6.1(2)</t>
  </si>
  <si>
    <t>12.8(2)</t>
  </si>
  <si>
    <t>18.8(2)</t>
  </si>
  <si>
    <t>1.2(2)</t>
  </si>
  <si>
    <t>1046.9(1)</t>
  </si>
  <si>
    <t>Telfer</t>
  </si>
  <si>
    <t>OGC</t>
  </si>
  <si>
    <t>20.9(6)</t>
  </si>
  <si>
    <t>19.8(6)</t>
  </si>
  <si>
    <t>40.6(6)</t>
  </si>
  <si>
    <t>4.7(6)</t>
  </si>
  <si>
    <t>161.1(6)</t>
  </si>
  <si>
    <t>2004/05–2009/10</t>
  </si>
  <si>
    <t>Argentina</t>
  </si>
  <si>
    <t>Alumbrera</t>
  </si>
  <si>
    <r>
      <t>Xstrata</t>
    </r>
    <r>
      <rPr>
        <sz val="6"/>
        <color rgb="FF1F1F1F"/>
        <rFont val="Georgia"/>
        <family val="1"/>
      </rPr>
      <t>50%</t>
    </r>
  </si>
  <si>
    <t>MCL</t>
  </si>
  <si>
    <t>GAS, Hydro</t>
  </si>
  <si>
    <t>23.9(4)</t>
  </si>
  <si>
    <t>13.4(5)</t>
  </si>
  <si>
    <t>37.3(4)</t>
  </si>
  <si>
    <t>91.3(6)</t>
  </si>
  <si>
    <t>Canada</t>
  </si>
  <si>
    <t>Highland Valley</t>
  </si>
  <si>
    <t>Teck</t>
  </si>
  <si>
    <t>Cu–Mo</t>
  </si>
  <si>
    <t>6.6(4)</t>
  </si>
  <si>
    <t>17.1(4)</t>
  </si>
  <si>
    <t>23.7(4)</t>
  </si>
  <si>
    <t>0.9(4)</t>
  </si>
  <si>
    <t>135.4(2)</t>
  </si>
  <si>
    <t>2004–2007</t>
  </si>
  <si>
    <t>Kidd Creek</t>
  </si>
  <si>
    <t>Cu–Zn</t>
  </si>
  <si>
    <t>MCSR</t>
  </si>
  <si>
    <t>Hydro/Nuclear</t>
  </si>
  <si>
    <t>20.0(2)</t>
  </si>
  <si>
    <t>2.3(2)</t>
  </si>
  <si>
    <t>76.7(2)</t>
  </si>
  <si>
    <t>2006–2010</t>
  </si>
  <si>
    <t>Chile</t>
  </si>
  <si>
    <t>Andina</t>
  </si>
  <si>
    <t>Codelco</t>
  </si>
  <si>
    <t>Breccia-Porphyry</t>
  </si>
  <si>
    <t>SIC</t>
  </si>
  <si>
    <t>3.1(9)</t>
  </si>
  <si>
    <t>8.7(10)</t>
  </si>
  <si>
    <t>11.8 (9)</t>
  </si>
  <si>
    <t>1.0(9)</t>
  </si>
  <si>
    <t>99.4(7)</t>
  </si>
  <si>
    <t>2001–2010</t>
  </si>
  <si>
    <t>Codelco Norte</t>
  </si>
  <si>
    <t>MCSL</t>
  </si>
  <si>
    <t>SING</t>
  </si>
  <si>
    <t>10.8(9)</t>
  </si>
  <si>
    <t>9.4(10)</t>
  </si>
  <si>
    <t>17.1(9)</t>
  </si>
  <si>
    <t>53.3(8)</t>
  </si>
  <si>
    <t>1999–2010</t>
  </si>
  <si>
    <t>Collahuasi</t>
  </si>
  <si>
    <t>Xstrata-Anglo</t>
  </si>
  <si>
    <t>Cu–Mo–Au–Ag</t>
  </si>
  <si>
    <t>5.9(4)</t>
  </si>
  <si>
    <t>9.1(4)</t>
  </si>
  <si>
    <t>15.0(4)</t>
  </si>
  <si>
    <t>2.5(4)</t>
  </si>
  <si>
    <t>31.9(2)</t>
  </si>
  <si>
    <t>El Soldado</t>
  </si>
  <si>
    <t>Anglo American</t>
  </si>
  <si>
    <t>27.9(7)</t>
  </si>
  <si>
    <t>2.0(7)</t>
  </si>
  <si>
    <t>48.2(7)</t>
  </si>
  <si>
    <t>2003–2009</t>
  </si>
  <si>
    <t>El Teniente</t>
  </si>
  <si>
    <t>5.2(9)</t>
  </si>
  <si>
    <t>14.1(10)</t>
  </si>
  <si>
    <t>19.3(9)</t>
  </si>
  <si>
    <t>1.4(9)</t>
  </si>
  <si>
    <t>139.7(7)</t>
  </si>
  <si>
    <t>Escondida</t>
  </si>
  <si>
    <r>
      <t>BHP</t>
    </r>
    <r>
      <rPr>
        <sz val="6"/>
        <color rgb="FF1F1F1F"/>
        <rFont val="Georgia"/>
        <family val="1"/>
      </rPr>
      <t>57.5%</t>
    </r>
  </si>
  <si>
    <t>4.4(6)</t>
  </si>
  <si>
    <t>7.5(6)</t>
  </si>
  <si>
    <t>11.9(6)</t>
  </si>
  <si>
    <t>1.7(6)</t>
  </si>
  <si>
    <t>52.5(6)</t>
  </si>
  <si>
    <t>2003–2008</t>
  </si>
  <si>
    <t>Lomas Bayas</t>
  </si>
  <si>
    <t>MH</t>
  </si>
  <si>
    <t>14.3(3)</t>
  </si>
  <si>
    <t>12.6(3)</t>
  </si>
  <si>
    <t>26.9(5)</t>
  </si>
  <si>
    <t>75.5(3)</t>
  </si>
  <si>
    <t>Los Bronces</t>
  </si>
  <si>
    <t>Breccia- Porphyry</t>
  </si>
  <si>
    <t>16.9(7)</t>
  </si>
  <si>
    <t>1.1(7)</t>
  </si>
  <si>
    <t>80.7(7)</t>
  </si>
  <si>
    <t>Mantos Blancos</t>
  </si>
  <si>
    <t>Diesel, SING</t>
  </si>
  <si>
    <t>47.2(7)</t>
  </si>
  <si>
    <t>3.1(7)</t>
  </si>
  <si>
    <t>226.5(7)</t>
  </si>
  <si>
    <t>Mantoverde</t>
  </si>
  <si>
    <t>ML</t>
  </si>
  <si>
    <t>22.8(7)</t>
  </si>
  <si>
    <t>2.3(7)</t>
  </si>
  <si>
    <t>46.6(7)</t>
  </si>
  <si>
    <t>Salvador</t>
  </si>
  <si>
    <t>20.2(9)</t>
  </si>
  <si>
    <t>23.4(10)</t>
  </si>
  <si>
    <t>41.5(9)</t>
  </si>
  <si>
    <t>3.5(9)</t>
  </si>
  <si>
    <t>321.3(8)</t>
  </si>
  <si>
    <t>Quebrada Blanca</t>
  </si>
  <si>
    <r>
      <t>Teck</t>
    </r>
    <r>
      <rPr>
        <sz val="6"/>
        <color rgb="FF1F1F1F"/>
        <rFont val="Georgia"/>
        <family val="1"/>
      </rPr>
      <t>76%</t>
    </r>
  </si>
  <si>
    <t>51.1(1)</t>
  </si>
  <si>
    <t>0.6(1)</t>
  </si>
  <si>
    <t>51.6(1)</t>
  </si>
  <si>
    <t>3.9(1)</t>
  </si>
  <si>
    <t>21.9(1)</t>
  </si>
  <si>
    <t>Finland</t>
  </si>
  <si>
    <t>Pyhasalmi</t>
  </si>
  <si>
    <t>Inmet Mining</t>
  </si>
  <si>
    <t>Zn–Cu</t>
  </si>
  <si>
    <t>4.5(7)</t>
  </si>
  <si>
    <t>10.4(7)</t>
  </si>
  <si>
    <t>14.9(6)</t>
  </si>
  <si>
    <t>0.4(5)</t>
  </si>
  <si>
    <t>211.0(7)</t>
  </si>
  <si>
    <t>Laos</t>
  </si>
  <si>
    <t>Sepon</t>
  </si>
  <si>
    <t>Hybrid VMS-SedEx</t>
  </si>
  <si>
    <t>12.6(4)</t>
  </si>
  <si>
    <t>13.7(4)</t>
  </si>
  <si>
    <t>26.4(4)</t>
  </si>
  <si>
    <t>2.8(4)</t>
  </si>
  <si>
    <t>34.0(5)</t>
  </si>
  <si>
    <t>South Africa</t>
  </si>
  <si>
    <t>Palabora</t>
  </si>
  <si>
    <t>Palabora Mining Company</t>
  </si>
  <si>
    <t>Carbonatitic</t>
  </si>
  <si>
    <t>34.5(6)</t>
  </si>
  <si>
    <t>20.4(6)</t>
  </si>
  <si>
    <t>55.5(10)</t>
  </si>
  <si>
    <t>8.5(10)</t>
  </si>
  <si>
    <t>94.4(11)</t>
  </si>
  <si>
    <t>2000–2010</t>
  </si>
  <si>
    <t>Turkey</t>
  </si>
  <si>
    <t>Cayeli</t>
  </si>
  <si>
    <t>1.5(7)</t>
  </si>
  <si>
    <t>5.3(7)</t>
  </si>
  <si>
    <t>6.7(7)</t>
  </si>
  <si>
    <t>1.0(7)</t>
  </si>
  <si>
    <t>87.3(7)</t>
  </si>
  <si>
    <t>Peru</t>
  </si>
  <si>
    <t>Tintaya</t>
  </si>
  <si>
    <t>Skarn</t>
  </si>
  <si>
    <t>21.6(1)</t>
  </si>
  <si>
    <t>9.1(5)</t>
  </si>
  <si>
    <t>31.4(1)</t>
  </si>
  <si>
    <t>42.5(5)</t>
  </si>
  <si>
    <t>PNG</t>
  </si>
  <si>
    <t>Ok Tedi</t>
  </si>
  <si>
    <t>OTML</t>
  </si>
  <si>
    <t>6.8(6)</t>
  </si>
  <si>
    <t>8.1(4)</t>
  </si>
  <si>
    <t>15.8(5)</t>
  </si>
  <si>
    <t>1.2(6)</t>
  </si>
  <si>
    <t>38.8(7)</t>
  </si>
  <si>
    <t>USA</t>
  </si>
  <si>
    <t>Kennecott Utah</t>
  </si>
  <si>
    <t>Rio Tinto</t>
  </si>
  <si>
    <t>Cu–Au–Ag–Mo</t>
  </si>
  <si>
    <t>47.0(8)</t>
  </si>
  <si>
    <t>4.3(8)</t>
  </si>
  <si>
    <t>9.8(7)</t>
  </si>
  <si>
    <t>Country</t>
  </si>
  <si>
    <t>Products</t>
  </si>
  <si>
    <t>kL</t>
  </si>
  <si>
    <t>t Cu</t>
  </si>
  <si>
    <t>water is used in various ways such as to control moisture content in slopes, dust suppression and to cool drilling and hauling equipment. Water is required in the beneficiation stage to ensure optimal grinding of ore, to allow transfer of concentrate slurry between unit processes and for flotation processes. Additionally, water may be used to cool heavy machinery and furnaces. A modest amount of water is also required for potable uses.</t>
  </si>
  <si>
    <t>Dict</t>
  </si>
  <si>
    <t>Open Pit</t>
  </si>
  <si>
    <t>Underground</t>
  </si>
  <si>
    <t>Lutter, S., Maus, V., Luckeneder, S., &amp; Tost, M. (2025). Increasing Water Use in Global Copper Production Threatens Freshwater Availability. WU Vienna University of Economics and Business. Ecological Economic Papers Vol. 49/2025 https://doi.org/10.57938/441b6e21-b914-4565-a2af-623f78ed92c6</t>
  </si>
  <si>
    <t>Lutter et al. (2025)</t>
  </si>
  <si>
    <t>Northey et al. (2013)</t>
  </si>
  <si>
    <t>https://doi.org/10.57938/441b6e21-b914-4565-a2af-623f78ed92c6</t>
  </si>
  <si>
    <t>Africa</t>
  </si>
  <si>
    <t>East Asia</t>
  </si>
  <si>
    <t>North America</t>
  </si>
  <si>
    <t>Oceania</t>
  </si>
  <si>
    <t>Region</t>
  </si>
  <si>
    <t>Mine</t>
  </si>
  <si>
    <t>(By)products</t>
  </si>
  <si>
    <t>Geology</t>
  </si>
  <si>
    <t>Process route</t>
  </si>
  <si>
    <t>New water use [ML]</t>
  </si>
  <si>
    <t>New water intensity [l/kg]</t>
  </si>
  <si>
    <t>Share in region</t>
  </si>
  <si>
    <t>Share in World</t>
  </si>
  <si>
    <t>Trident - Sentinel</t>
  </si>
  <si>
    <t>cunn</t>
  </si>
  <si>
    <t>seho</t>
  </si>
  <si>
    <t>concentrator</t>
  </si>
  <si>
    <t>Kansanshi</t>
  </si>
  <si>
    <t>pyro</t>
  </si>
  <si>
    <t>Lumwana</t>
  </si>
  <si>
    <t>Kamoto</t>
  </si>
  <si>
    <t>Tenke Fungurume</t>
  </si>
  <si>
    <t>hydro</t>
  </si>
  <si>
    <t>Grasberg</t>
  </si>
  <si>
    <t>pode</t>
  </si>
  <si>
    <t>Erdenet</t>
  </si>
  <si>
    <t>Dexing Complex</t>
  </si>
  <si>
    <t>Letpadaung Mountain</t>
  </si>
  <si>
    <t>Batu Hijau</t>
  </si>
  <si>
    <t>Kola Division</t>
  </si>
  <si>
    <t>nncu</t>
  </si>
  <si>
    <t>na</t>
  </si>
  <si>
    <t>Polar Division</t>
  </si>
  <si>
    <t>nnnn</t>
  </si>
  <si>
    <t>Rudna</t>
  </si>
  <si>
    <t>Aitik</t>
  </si>
  <si>
    <t>Zhezkazgan Complex</t>
  </si>
  <si>
    <t>Cobre Panama</t>
  </si>
  <si>
    <t>4,1%</t>
  </si>
  <si>
    <t>Chuquicamata</t>
  </si>
  <si>
    <t>Cerro Verde</t>
  </si>
  <si>
    <t>Morenci</t>
  </si>
  <si>
    <t>Kennecott</t>
  </si>
  <si>
    <t>Mission</t>
  </si>
  <si>
    <t>Bagdad</t>
  </si>
  <si>
    <t>Boddington</t>
  </si>
  <si>
    <t>Mt Isa Copper</t>
  </si>
  <si>
    <t>Cadia East</t>
  </si>
  <si>
    <t>Sarcheshmeh</t>
  </si>
  <si>
    <t>Sungun</t>
  </si>
  <si>
    <t>Jabal Sayid</t>
  </si>
  <si>
    <t>voms</t>
  </si>
  <si>
    <t>Malanjkhand</t>
  </si>
  <si>
    <t>cucu</t>
  </si>
  <si>
    <t>Saindak</t>
  </si>
  <si>
    <t>World</t>
  </si>
  <si>
    <t>Europe &amp; Central Asia</t>
  </si>
  <si>
    <t>Latin America &amp; Caribbean</t>
  </si>
  <si>
    <t>South &amp; west Asia</t>
  </si>
  <si>
    <t>L</t>
  </si>
  <si>
    <t>kg Cu</t>
  </si>
  <si>
    <t>iocg</t>
  </si>
  <si>
    <t>porphyry deposit</t>
  </si>
  <si>
    <t>sediment hosted</t>
  </si>
  <si>
    <t>iron oxide copper-gold deposit</t>
  </si>
  <si>
    <t>unknown type of deposit</t>
  </si>
  <si>
    <t>other type of deposit</t>
  </si>
  <si>
    <t>volcanogenic massive sulfide deposit</t>
  </si>
  <si>
    <t>copper as by-product</t>
  </si>
  <si>
    <t>copper as main product</t>
  </si>
  <si>
    <t>S&amp;P</t>
  </si>
  <si>
    <t>https://kghm.com/en/our-business/mining-and-enrichment/rudna</t>
  </si>
  <si>
    <t>https://minedocs.com/28/Kennecott-NRS-MR-06202023.pdf</t>
  </si>
  <si>
    <t>https://minedocs.com/20/Boddington-TR-12312018.pdf</t>
  </si>
  <si>
    <t>https://minedocs.com/28/Cadia-TR-12312023.pdf</t>
  </si>
  <si>
    <t>Factor_m3perTon</t>
  </si>
  <si>
    <t>Key</t>
  </si>
  <si>
    <t>Grand Total</t>
  </si>
  <si>
    <t>Order</t>
  </si>
  <si>
    <t>Mine_type</t>
  </si>
  <si>
    <t>Resource_type</t>
  </si>
  <si>
    <t>Combined</t>
  </si>
  <si>
    <t>Average of TotalWater_m3_tonCu</t>
  </si>
  <si>
    <r>
      <t>Islam, K., &amp; Murakami, S. (2020). Accounting for water footprint of an open-pit copper mine. </t>
    </r>
    <r>
      <rPr>
        <i/>
        <sz val="7"/>
        <color rgb="FF222222"/>
        <rFont val="Arial"/>
        <family val="2"/>
      </rPr>
      <t>Sustainability</t>
    </r>
    <r>
      <rPr>
        <sz val="7"/>
        <color rgb="FF222222"/>
        <rFont val="Arial"/>
        <family val="2"/>
      </rPr>
      <t>, </t>
    </r>
    <r>
      <rPr>
        <i/>
        <sz val="7"/>
        <color rgb="FF222222"/>
        <rFont val="Arial"/>
        <family val="2"/>
      </rPr>
      <t>12</t>
    </r>
    <r>
      <rPr>
        <sz val="7"/>
        <color rgb="FF222222"/>
        <rFont val="Arial"/>
        <family val="2"/>
      </rPr>
      <t>(22), 9660.</t>
    </r>
  </si>
  <si>
    <t>https://doi.org/10.3390/su12229660</t>
  </si>
  <si>
    <t>m3</t>
  </si>
  <si>
    <t>ton Cu</t>
  </si>
  <si>
    <t>Green + Blue + Grey water</t>
  </si>
  <si>
    <t>https://panaust.com.au/wp-content/uploads/2024/02/2018-Business-Review-and-Sustainability-Report.pdf</t>
  </si>
  <si>
    <r>
      <t>Peña, C. A., &amp; Huijbregts, M. A. (2014). The blue water footprint of primary copper production in northern Chile. </t>
    </r>
    <r>
      <rPr>
        <i/>
        <sz val="7"/>
        <color rgb="FF222222"/>
        <rFont val="Arial"/>
        <family val="2"/>
      </rPr>
      <t>Journal of Industrial Ecology</t>
    </r>
    <r>
      <rPr>
        <sz val="7"/>
        <color rgb="FF222222"/>
        <rFont val="Arial"/>
        <family val="2"/>
      </rPr>
      <t>, </t>
    </r>
    <r>
      <rPr>
        <i/>
        <sz val="7"/>
        <color rgb="FF222222"/>
        <rFont val="Arial"/>
        <family val="2"/>
      </rPr>
      <t>18</t>
    </r>
    <r>
      <rPr>
        <sz val="7"/>
        <color rgb="FF222222"/>
        <rFont val="Arial"/>
        <family val="2"/>
      </rPr>
      <t>(1), 49-58.</t>
    </r>
  </si>
  <si>
    <t>Peña et al. (2014)</t>
  </si>
  <si>
    <t>https://doi.org/10.1111/jiec.12036</t>
  </si>
  <si>
    <t>Copper sulfide ore</t>
  </si>
  <si>
    <t>Copper oxide ore</t>
  </si>
  <si>
    <t>Stages: Mining, Comminution, Concentrator, Smelting, Electrorefinery, Sulfuric acid plant. Not included by me: Embodied water in materials, Embodied Water in Electricity.</t>
  </si>
  <si>
    <t>Table S5 Statistical variation of total water consumption by the oxide ore refining process.</t>
  </si>
  <si>
    <t>Region in Chile</t>
  </si>
  <si>
    <t>Company</t>
  </si>
  <si>
    <t>Copper Cathode Production in 2005,thousand tonnes/year</t>
  </si>
  <si>
    <t>Reference</t>
  </si>
  <si>
    <t>Water Consumed in Cathode Production,m /tonne of dry mineral</t>
  </si>
  <si>
    <t>Average Ore Grade (mass fraction of copper), unitless</t>
  </si>
  <si>
    <t>Water Consumed inCopper Cathode Production,m3/tonne of copper cathode</t>
  </si>
  <si>
    <t>Cerro Colorado</t>
  </si>
  <si>
    <t>Züfiiga 2008</t>
  </si>
  <si>
    <t>Inés de Collahuasi</t>
  </si>
  <si>
    <t>Collahuasi 2005</t>
  </si>
  <si>
    <t>El Abra</t>
  </si>
  <si>
    <t>Züfii a 2008</t>
  </si>
  <si>
    <t>Codelco 2005</t>
  </si>
  <si>
    <t>S ence</t>
  </si>
  <si>
    <t>El Tesoro</t>
  </si>
  <si>
    <t>Codelco Gabi</t>
  </si>
  <si>
    <t>Zaldivar</t>
  </si>
  <si>
    <t>Escondida 2005</t>
  </si>
  <si>
    <t>Antofagasta</t>
  </si>
  <si>
    <t>A-A 2005</t>
  </si>
  <si>
    <t>Atacama</t>
  </si>
  <si>
    <t>Codelco Salvador</t>
  </si>
  <si>
    <t>Manto Verde</t>
  </si>
  <si>
    <t>Tarapaca</t>
  </si>
  <si>
    <t>Table S6 Statistical variation of total water consumption m the sulfide ore refining process. Fine copper is the copper in the concentrate after drying.</t>
  </si>
  <si>
    <t>Average Ore</t>
  </si>
  <si>
    <t>Production ofFine Copper in 2005,thousand tonnes /year</t>
  </si>
  <si>
    <t>Water Consumed in Concentrate Production,m /tonne of dry mineral</t>
  </si>
  <si>
    <t>Grade (mass fraction of copper), unitless</t>
  </si>
  <si>
    <t>Water Consumed in Concentrate Production,m /tonne of fine copper</t>
  </si>
  <si>
    <t>Minera Candelaria</t>
  </si>
  <si>
    <t>Minera Ojos del Salado</t>
  </si>
  <si>
    <t>Los Pelambres</t>
  </si>
  <si>
    <t>Note: the reference unit is copper content m the concentrate, because not all mining companies have smelting and/or electrorefining plants.</t>
  </si>
  <si>
    <t>Coquimbo</t>
  </si>
  <si>
    <t>Mineral</t>
  </si>
  <si>
    <t>Copper</t>
  </si>
  <si>
    <r>
      <t>Rinne, M., Elomaa, H., &amp; Lundström, M. (2021). Life cycle assessment and process simulation of prospective battery-grade cobalt sulfate production from Co-Au ores in Finland. </t>
    </r>
    <r>
      <rPr>
        <i/>
        <sz val="7"/>
        <color rgb="FF222222"/>
        <rFont val="Arial"/>
        <family val="2"/>
      </rPr>
      <t>The International Journal of Life Cycle Assessment</t>
    </r>
    <r>
      <rPr>
        <sz val="7"/>
        <color rgb="FF222222"/>
        <rFont val="Arial"/>
        <family val="2"/>
      </rPr>
      <t>, </t>
    </r>
    <r>
      <rPr>
        <i/>
        <sz val="7"/>
        <color rgb="FF222222"/>
        <rFont val="Arial"/>
        <family val="2"/>
      </rPr>
      <t>26</t>
    </r>
    <r>
      <rPr>
        <sz val="7"/>
        <color rgb="FF222222"/>
        <rFont val="Arial"/>
        <family val="2"/>
      </rPr>
      <t>(11), 2127-2142.</t>
    </r>
  </si>
  <si>
    <t>Islam et al. (2020)</t>
  </si>
  <si>
    <t>Rinne et al. (2021)</t>
  </si>
  <si>
    <t>https://doi.org/10.1007/s11367-021-01965-3</t>
  </si>
  <si>
    <t>Cobalt</t>
  </si>
  <si>
    <t>kg Co</t>
  </si>
  <si>
    <t>m3_perTonOre</t>
  </si>
  <si>
    <t>Gunson, A. J. (2013). Quantifying, reducing and improving mine water use (Doctoral dissertation, University of British Columbia).</t>
  </si>
  <si>
    <t>Gunson (2013)</t>
  </si>
  <si>
    <t>10.14288/1.0071942</t>
  </si>
  <si>
    <t>Nickel</t>
  </si>
  <si>
    <t>Global</t>
  </si>
  <si>
    <t>Smelting/converting and electrorefining</t>
  </si>
  <si>
    <t>Heap acid leaching and SX/EW</t>
  </si>
  <si>
    <t>Mine &amp; Mill + Smeting</t>
  </si>
  <si>
    <t>Mine &amp; heap</t>
  </si>
  <si>
    <t>Flash furnace smelting and Sherritt-Gordon refining</t>
  </si>
  <si>
    <t>Pressure acid leaching and SX/EW</t>
  </si>
  <si>
    <t>ton Ni</t>
  </si>
  <si>
    <t>SX/EW</t>
  </si>
  <si>
    <t>Concentrator</t>
  </si>
  <si>
    <t>ton Co</t>
  </si>
  <si>
    <t>2009 wght avg</t>
  </si>
  <si>
    <t>Water withdrawal</t>
  </si>
  <si>
    <t>Mudd, G. M. (2008). Sustainability reporting and water resources: a preliminary assessment of embodied water and sustainable mining. Mine Water and the Environment, 27(3), 136-144.</t>
  </si>
  <si>
    <t>Mudd (2008)</t>
  </si>
  <si>
    <t>https://doi.org/10.1007/s10230-008-0037-5</t>
  </si>
  <si>
    <t>Average</t>
  </si>
  <si>
    <t>Copper-gold</t>
  </si>
  <si>
    <t>Sulfide</t>
  </si>
  <si>
    <t>Dai, Q., Kelly, J. C., &amp; Elgowainy, A. (2018). Cobalt life cycle analysis update for the GREET Model. Argonne National Laboratory.</t>
  </si>
  <si>
    <t>Dai et al. (2018)</t>
  </si>
  <si>
    <t>Copper-cobalt</t>
  </si>
  <si>
    <t>water consumption</t>
  </si>
  <si>
    <t>TFM</t>
  </si>
  <si>
    <t>(blank)</t>
  </si>
  <si>
    <t>Values</t>
  </si>
  <si>
    <t>Average of Grade ore Cu%</t>
  </si>
  <si>
    <t>Average of m3_perTonOre</t>
  </si>
  <si>
    <t>Type</t>
  </si>
  <si>
    <t>https://doi.org/10.1016/j.jclepro.2012.09.027</t>
  </si>
  <si>
    <t>Water consumption</t>
  </si>
  <si>
    <t>Water use (consumption)</t>
  </si>
  <si>
    <t>0 data points</t>
  </si>
  <si>
    <r>
      <t xml:space="preserve">Green + Blue + Grey water </t>
    </r>
    <r>
      <rPr>
        <i/>
        <sz val="11"/>
        <color theme="1"/>
        <rFont val="Aptos Narrow"/>
        <family val="2"/>
        <scheme val="minor"/>
      </rPr>
      <t>(only one data point)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</si>
</sst>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2" x14ac:knownFonts="1">
    <font>
      <sz val="11"/>
      <color theme="1"/>
      <name val="Aptos Narrow"/>
      <family val="2"/>
      <scheme val="minor"/>
    </font>
    <font>
      <b/>
      <sz val="11"/>
      <color theme="1"/>
      <name val="Aptos Narrow"/>
      <family val="2"/>
      <scheme val="minor"/>
    </font>
    <font>
      <sz val="8"/>
      <color rgb="FF222222"/>
      <name val="Arial"/>
      <family val="2"/>
    </font>
    <font>
      <i/>
      <sz val="8"/>
      <color rgb="FF222222"/>
      <name val="Arial"/>
      <family val="2"/>
    </font>
    <font>
      <b/>
      <sz val="8"/>
      <color rgb="FF1F1F1F"/>
      <name val="Georgia"/>
      <family val="1"/>
    </font>
    <font>
      <b/>
      <sz val="6"/>
      <color rgb="FF1F1F1F"/>
      <name val="Georgia"/>
      <family val="1"/>
    </font>
    <font>
      <sz val="8"/>
      <color rgb="FF1F1F1F"/>
      <name val="Georgia"/>
      <family val="1"/>
    </font>
    <font>
      <sz val="6"/>
      <color rgb="FF1F1F1F"/>
      <name val="Georgia"/>
      <family val="1"/>
    </font>
    <font>
      <u/>
      <sz val="11"/>
      <color theme="10"/>
      <name val="Aptos Narrow"/>
      <family val="2"/>
      <scheme val="minor"/>
    </font>
    <font>
      <sz val="7"/>
      <color rgb="FF222222"/>
      <name val="Arial"/>
      <family val="2"/>
    </font>
    <font>
      <i/>
      <sz val="7"/>
      <color rgb="FF222222"/>
      <name val="Arial"/>
      <family val="2"/>
    </font>
    <font>
      <i/>
      <sz val="11"/>
      <color theme="1"/>
      <name val="Aptos Narrow"/>
      <family val="2"/>
      <scheme val="minor"/>
    </font>
  </fonts>
  <fills count="2">
    <fill>
      <patternFill patternType="none"/>
    </fill>
    <fill>
      <patternFill patternType="gray125"/>
    </fill>
  </fills>
  <borders count="3">
    <border>
      <left/>
      <right/>
      <top/>
      <bottom/>
      <diagonal/>
    </border>
    <border>
      <left/>
      <right/>
      <top/>
      <bottom style="medium">
        <color rgb="FF8E8E8E"/>
      </bottom>
      <diagonal/>
    </border>
    <border>
      <left/>
      <right/>
      <top style="medium">
        <color rgb="FF8E8E8E"/>
      </top>
      <bottom/>
      <diagonal/>
    </border>
  </borders>
  <cellStyleXfs count="2">
    <xf numFmtId="0" fontId="0" fillId="0" borderId="0"/>
    <xf numFmtId="0" fontId="8" fillId="0" borderId="0" applyNumberFormat="0" applyFill="0" applyBorder="0" applyAlignment="0" applyProtection="0"/>
  </cellStyleXfs>
  <cellXfs count="19">
    <xf numFmtId="0" fontId="0" fillId="0" borderId="0" xfId="0"/>
    <xf numFmtId="0" fontId="1" fillId="0" borderId="0" xfId="0" applyFont="1"/>
    <xf numFmtId="0" fontId="4" fillId="0" borderId="1" xfId="0" applyFont="1" applyBorder="1" applyAlignment="1">
      <alignment horizontal="center" vertical="center" wrapText="1"/>
    </xf>
    <xf numFmtId="0" fontId="6" fillId="0" borderId="0" xfId="0" applyFont="1" applyAlignment="1">
      <alignment vertical="center" wrapText="1"/>
    </xf>
    <xf numFmtId="3" fontId="0" fillId="0" borderId="0" xfId="0" applyNumberFormat="1"/>
    <xf numFmtId="3" fontId="6" fillId="0" borderId="0" xfId="0" applyNumberFormat="1" applyFont="1" applyAlignment="1">
      <alignment vertical="center" wrapText="1"/>
    </xf>
    <xf numFmtId="0" fontId="4" fillId="0" borderId="2" xfId="0" applyFont="1" applyBorder="1" applyAlignment="1">
      <alignment horizontal="center" vertical="center" wrapText="1"/>
    </xf>
    <xf numFmtId="0" fontId="6" fillId="0" borderId="1" xfId="0" applyFont="1" applyBorder="1" applyAlignment="1">
      <alignment vertical="center" wrapText="1"/>
    </xf>
    <xf numFmtId="3" fontId="6" fillId="0" borderId="1" xfId="0" applyNumberFormat="1" applyFont="1" applyBorder="1" applyAlignment="1">
      <alignment vertical="center" wrapText="1"/>
    </xf>
    <xf numFmtId="10" fontId="0" fillId="0" borderId="0" xfId="0" applyNumberFormat="1"/>
    <xf numFmtId="0" fontId="0" fillId="0" borderId="0" xfId="0" applyAlignment="1">
      <alignment wrapText="1"/>
    </xf>
    <xf numFmtId="0" fontId="8" fillId="0" borderId="0" xfId="1"/>
    <xf numFmtId="0" fontId="0" fillId="0" borderId="0" xfId="0" pivotButton="1"/>
    <xf numFmtId="164" fontId="0" fillId="0" borderId="0" xfId="0" applyNumberFormat="1"/>
    <xf numFmtId="4" fontId="0" fillId="0" borderId="0" xfId="0" applyNumberFormat="1"/>
    <xf numFmtId="165" fontId="0" fillId="0" borderId="0" xfId="0" applyNumberFormat="1"/>
    <xf numFmtId="0" fontId="11" fillId="0" borderId="0" xfId="0" applyFont="1"/>
    <xf numFmtId="0" fontId="4" fillId="0" borderId="2" xfId="0" applyFont="1" applyBorder="1" applyAlignment="1">
      <alignment horizontal="center" vertical="center" wrapText="1"/>
    </xf>
    <xf numFmtId="0" fontId="4" fillId="0" borderId="1" xfId="0" applyFont="1" applyBorder="1" applyAlignment="1">
      <alignment horizontal="center" vertical="center" wrapText="1"/>
    </xf>
  </cellXfs>
  <cellStyles count="2">
    <cellStyle name="Hyperlink" xfId="1" builtinId="8"/>
    <cellStyle name="Normal" xfId="0" builtinId="0"/>
  </cellStyles>
  <dxfs count="17">
    <dxf>
      <numFmt numFmtId="14" formatCode="0.00%"/>
    </dxf>
    <dxf>
      <numFmt numFmtId="3" formatCode="#,##0"/>
    </dxf>
    <dxf>
      <numFmt numFmtId="4" formatCode="#,##0.00"/>
    </dxf>
    <dxf>
      <numFmt numFmtId="164" formatCode="#,##0.0"/>
    </dxf>
    <dxf>
      <fill>
        <patternFill>
          <bgColor theme="3" tint="0.499984740745262"/>
        </patternFill>
      </fill>
    </dxf>
    <dxf>
      <fill>
        <patternFill>
          <bgColor theme="3" tint="0.89996032593768116"/>
        </patternFill>
      </fill>
    </dxf>
    <dxf>
      <fill>
        <patternFill>
          <bgColor theme="8" tint="0.79998168889431442"/>
        </patternFill>
      </fill>
    </dxf>
    <dxf>
      <fill>
        <patternFill>
          <bgColor theme="5" tint="0.79998168889431442"/>
        </patternFill>
      </fill>
    </dxf>
    <dxf>
      <font>
        <color rgb="FF9C0006"/>
      </font>
      <fill>
        <patternFill>
          <bgColor rgb="FFFFC7CE"/>
        </patternFill>
      </fill>
    </dxf>
    <dxf>
      <numFmt numFmtId="4" formatCode="#,##0.00"/>
    </dxf>
    <dxf>
      <numFmt numFmtId="164" formatCode="#,##0.0"/>
    </dxf>
    <dxf>
      <numFmt numFmtId="14" formatCode="0.00%"/>
    </dxf>
    <dxf>
      <font>
        <b/>
        <i val="0"/>
        <strike val="0"/>
        <condense val="0"/>
        <extend val="0"/>
        <outline val="0"/>
        <shadow val="0"/>
        <u val="none"/>
        <vertAlign val="baseline"/>
        <sz val="11"/>
        <color theme="1"/>
        <name val="Aptos Narrow"/>
        <family val="2"/>
        <scheme val="minor"/>
      </font>
    </dxf>
    <dxf>
      <numFmt numFmtId="4" formatCode="#,##0.00"/>
    </dxf>
    <dxf>
      <numFmt numFmtId="3" formatCode="#,##0"/>
    </dxf>
    <dxf>
      <numFmt numFmtId="14" formatCode="0.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Pablo Busch" refreshedDate="46245.643708101852" createdVersion="8" refreshedVersion="8" minRefreshableVersion="3" recordCount="101" xr:uid="{E12F285E-A342-472C-B598-E92F9DA01D0E}">
  <cacheSource type="worksheet">
    <worksheetSource name="Table1"/>
  </cacheSource>
  <cacheFields count="18">
    <cacheField name="Order" numFmtId="0">
      <sharedItems containsSemiMixedTypes="0" containsString="0" containsNumber="1" containsInteger="1" minValue="1" maxValue="101"/>
    </cacheField>
    <cacheField name="Mineral" numFmtId="0">
      <sharedItems count="5">
        <s v="Copper"/>
        <s v="Nickel"/>
        <s v="Cobalt"/>
        <s v="Copper-gold" u="1"/>
        <s v="Copper-cobalt" u="1"/>
      </sharedItems>
    </cacheField>
    <cacheField name="Country" numFmtId="0">
      <sharedItems/>
    </cacheField>
    <cacheField name="Deposit" numFmtId="0">
      <sharedItems containsBlank="1" count="75">
        <s v="Cadia-Ridgeway"/>
        <s v="Ernest Henry"/>
        <s v="Golden Grove"/>
        <s v="Mount Isa"/>
        <s v="Northparkes"/>
        <s v="Olympic Dam"/>
        <s v="Prominent Hill"/>
        <s v="Rosebery"/>
        <s v="Telfer"/>
        <s v="Alumbrera"/>
        <s v="Highland Valley"/>
        <s v="Kidd Creek"/>
        <s v="Andina"/>
        <s v="Codelco Norte"/>
        <s v="Collahuasi"/>
        <s v="El Soldado"/>
        <s v="El Teniente"/>
        <s v="Escondida"/>
        <s v="Lomas Bayas"/>
        <s v="Los Bronces"/>
        <s v="Mantos Blancos"/>
        <s v="Mantoverde"/>
        <s v="Salvador"/>
        <s v="Quebrada Blanca"/>
        <s v="Pyhasalmi"/>
        <s v="Sepon"/>
        <s v="Palabora"/>
        <s v="Cayeli"/>
        <s v="Tintaya"/>
        <s v="Ok Tedi"/>
        <s v="Kennecott Utah"/>
        <s v="Trident - Sentinel"/>
        <s v="Kansanshi"/>
        <s v="Lumwana"/>
        <s v="Kamoto"/>
        <s v="Tenke Fungurume"/>
        <s v="Grasberg"/>
        <s v="Erdenet"/>
        <s v="Dexing Complex"/>
        <s v="Letpadaung Mountain"/>
        <s v="Batu Hijau"/>
        <s v="Kola Division"/>
        <s v="Polar Division"/>
        <s v="Rudna"/>
        <s v="Aitik"/>
        <s v="Zhezkazgan Complex"/>
        <s v="Cobre Panama"/>
        <s v="Chuquicamata"/>
        <s v="Cerro Verde"/>
        <s v="Morenci"/>
        <s v="Kennecott"/>
        <s v="Mission"/>
        <s v="Bagdad"/>
        <s v="Boddington"/>
        <s v="Mt Isa Copper"/>
        <s v="Cadia East"/>
        <s v="Sarcheshmeh"/>
        <s v="Sungun"/>
        <s v="Jabal Sayid"/>
        <s v="Malanjkhand"/>
        <s v="Saindak"/>
        <m/>
        <s v="Cerro Colorado"/>
        <s v="Inés de Collahuasi"/>
        <s v="El Abra"/>
        <s v="S ence"/>
        <s v="El Tesoro"/>
        <s v="Codelco Gabi"/>
        <s v="Zaldivar"/>
        <s v="Codelco Salvador"/>
        <s v="Manto Verde"/>
        <s v="Minera Candelaria"/>
        <s v="Minera Ojos del Salado"/>
        <s v="Los Pelambres"/>
        <s v="Rajapalot" u="1"/>
      </sharedItems>
    </cacheField>
    <cacheField name="Resource_type" numFmtId="0">
      <sharedItems containsBlank="1"/>
    </cacheField>
    <cacheField name="Mine_type" numFmtId="0">
      <sharedItems count="3">
        <s v="Combined"/>
        <s v="Open Pit"/>
        <s v="Underground"/>
      </sharedItems>
    </cacheField>
    <cacheField name="Products" numFmtId="0">
      <sharedItems containsBlank="1"/>
    </cacheField>
    <cacheField name="Grade ore Cu%" numFmtId="10">
      <sharedItems containsString="0" containsBlank="1" containsNumber="1" minValue="2.5999999999999998E-4" maxValue="3.78E-2"/>
    </cacheField>
    <cacheField name="Ref_grade" numFmtId="0">
      <sharedItems containsMixedTypes="1" containsNumber="1" containsInteger="1" minValue="1" maxValue="8"/>
    </cacheField>
    <cacheField name="Freshwater" numFmtId="0">
      <sharedItems containsSemiMixedTypes="0" containsString="0" containsNumber="1" minValue="6.3" maxValue="1181"/>
    </cacheField>
    <cacheField name="Unit num" numFmtId="0">
      <sharedItems/>
    </cacheField>
    <cacheField name="Unit den" numFmtId="0">
      <sharedItems/>
    </cacheField>
    <cacheField name="Detail" numFmtId="0">
      <sharedItems containsBlank="1"/>
    </cacheField>
    <cacheField name="Water type" numFmtId="0">
      <sharedItems containsBlank="1" longText="1"/>
    </cacheField>
    <cacheField name="Ref_Water" numFmtId="0">
      <sharedItems containsSemiMixedTypes="0" containsString="0" containsNumber="1" containsInteger="1" minValue="1" maxValue="8"/>
    </cacheField>
    <cacheField name="Ref_Water2" numFmtId="0">
      <sharedItems count="9">
        <s v="Northey et al. (2013)"/>
        <s v="Lutter et al. (2025)"/>
        <s v="Islam et al. (2020)"/>
        <s v="Peña et al. (2014)"/>
        <s v="Gunson (2013)"/>
        <s v="Mudd (2008)"/>
        <s v="Dai et al. (2018)"/>
        <e v="#N/A" u="1"/>
        <s v="Rinne et al. (2021)" u="1"/>
      </sharedItems>
    </cacheField>
    <cacheField name="TotalWater_m3_tonCu" numFmtId="164">
      <sharedItems containsSemiMixedTypes="0" containsString="0" containsNumber="1" minValue="6.3" maxValue="1181"/>
    </cacheField>
    <cacheField name="m3_perTonOre" numFmtId="0">
      <sharedItems containsString="0" containsBlank="1" containsNumber="1" minValue="5.7820000000000003E-2" maxValue="20.06499110779"/>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59B5C8-52C7-4D5C-91CE-6266FC14E357}" name="PT_Data" cacheId="15" applyNumberFormats="0" applyBorderFormats="0" applyFontFormats="0" applyPatternFormats="0" applyAlignmentFormats="0" applyWidthHeightFormats="1" dataCaption="Values" updatedVersion="8" minRefreshableVersion="3" asteriskTotals="1" showDrill="0" useAutoFormatting="1" itemPrintTitles="1" createdVersion="8" indent="0" compact="0" compactData="0" gridDropZones="1" multipleFieldFilters="0">
  <location ref="E7:N88" firstHeaderRow="1" firstDataRow="2" firstDataCol="2"/>
  <pivotFields count="18">
    <pivotField compact="0" outline="0" showAll="0"/>
    <pivotField compact="0" outline="0" showAll="0"/>
    <pivotField compact="0" outline="0" showAll="0" defaultSubtotal="0"/>
    <pivotField axis="axisRow" compact="0" outline="0" showAll="0" defaultSubtotal="0">
      <items count="75">
        <item x="44"/>
        <item x="9"/>
        <item x="12"/>
        <item x="52"/>
        <item x="40"/>
        <item x="53"/>
        <item x="55"/>
        <item x="0"/>
        <item x="27"/>
        <item x="48"/>
        <item x="47"/>
        <item x="46"/>
        <item x="13"/>
        <item x="14"/>
        <item x="38"/>
        <item x="15"/>
        <item x="16"/>
        <item x="37"/>
        <item x="1"/>
        <item x="17"/>
        <item x="2"/>
        <item x="36"/>
        <item x="10"/>
        <item x="58"/>
        <item x="34"/>
        <item x="32"/>
        <item x="50"/>
        <item x="30"/>
        <item x="11"/>
        <item x="41"/>
        <item x="39"/>
        <item x="18"/>
        <item x="19"/>
        <item x="33"/>
        <item x="59"/>
        <item x="20"/>
        <item x="21"/>
        <item x="51"/>
        <item x="49"/>
        <item x="3"/>
        <item x="54"/>
        <item x="4"/>
        <item x="29"/>
        <item x="5"/>
        <item x="26"/>
        <item x="42"/>
        <item x="6"/>
        <item x="24"/>
        <item x="23"/>
        <item x="7"/>
        <item x="43"/>
        <item x="60"/>
        <item x="22"/>
        <item x="56"/>
        <item x="25"/>
        <item x="57"/>
        <item x="8"/>
        <item x="35"/>
        <item x="28"/>
        <item x="31"/>
        <item x="45"/>
        <item x="61"/>
        <item x="62"/>
        <item x="63"/>
        <item x="64"/>
        <item x="65"/>
        <item x="66"/>
        <item x="67"/>
        <item x="68"/>
        <item x="69"/>
        <item x="70"/>
        <item x="71"/>
        <item x="72"/>
        <item x="73"/>
        <item m="1" x="74"/>
      </items>
    </pivotField>
    <pivotField compact="0" outline="0" showAll="0"/>
    <pivotField axis="axisRow" compact="0" outline="0" showAll="0" defaultSubtotal="0">
      <items count="3">
        <item x="0"/>
        <item x="1"/>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9">
        <item x="1"/>
        <item x="0"/>
        <item x="2"/>
        <item x="3"/>
        <item m="1" x="8"/>
        <item x="4"/>
        <item x="5"/>
        <item x="6"/>
        <item m="1" x="7"/>
      </items>
    </pivotField>
    <pivotField dataField="1" compact="0" outline="0" showAll="0" defaultSubtotal="0"/>
    <pivotField compact="0" outline="0" showAll="0"/>
  </pivotFields>
  <rowFields count="2">
    <field x="5"/>
    <field x="3"/>
  </rowFields>
  <rowItems count="80">
    <i>
      <x/>
      <x v="2"/>
    </i>
    <i r="1">
      <x v="5"/>
    </i>
    <i r="1">
      <x v="6"/>
    </i>
    <i r="1">
      <x v="7"/>
    </i>
    <i r="1">
      <x v="14"/>
    </i>
    <i r="1">
      <x v="15"/>
    </i>
    <i r="1">
      <x v="16"/>
    </i>
    <i r="1">
      <x v="21"/>
    </i>
    <i r="1">
      <x v="23"/>
    </i>
    <i r="1">
      <x v="24"/>
    </i>
    <i r="1">
      <x v="25"/>
    </i>
    <i r="1">
      <x v="26"/>
    </i>
    <i r="1">
      <x v="29"/>
    </i>
    <i r="1">
      <x v="34"/>
    </i>
    <i r="1">
      <x v="37"/>
    </i>
    <i r="1">
      <x v="40"/>
    </i>
    <i r="1">
      <x v="41"/>
    </i>
    <i r="1">
      <x v="42"/>
    </i>
    <i r="1">
      <x v="45"/>
    </i>
    <i r="1">
      <x v="52"/>
    </i>
    <i r="1">
      <x v="56"/>
    </i>
    <i r="1">
      <x v="60"/>
    </i>
    <i r="1">
      <x v="61"/>
    </i>
    <i>
      <x v="1"/>
      <x/>
    </i>
    <i r="1">
      <x v="1"/>
    </i>
    <i r="1">
      <x v="3"/>
    </i>
    <i r="1">
      <x v="4"/>
    </i>
    <i r="1">
      <x v="9"/>
    </i>
    <i r="1">
      <x v="10"/>
    </i>
    <i r="1">
      <x v="11"/>
    </i>
    <i r="1">
      <x v="12"/>
    </i>
    <i r="1">
      <x v="13"/>
    </i>
    <i r="1">
      <x v="17"/>
    </i>
    <i r="1">
      <x v="18"/>
    </i>
    <i r="1">
      <x v="19"/>
    </i>
    <i r="1">
      <x v="22"/>
    </i>
    <i r="1">
      <x v="27"/>
    </i>
    <i r="1">
      <x v="28"/>
    </i>
    <i r="1">
      <x v="30"/>
    </i>
    <i r="1">
      <x v="31"/>
    </i>
    <i r="1">
      <x v="32"/>
    </i>
    <i r="1">
      <x v="33"/>
    </i>
    <i r="1">
      <x v="35"/>
    </i>
    <i r="1">
      <x v="36"/>
    </i>
    <i r="1">
      <x v="38"/>
    </i>
    <i r="1">
      <x v="42"/>
    </i>
    <i r="1">
      <x v="46"/>
    </i>
    <i r="1">
      <x v="48"/>
    </i>
    <i r="1">
      <x v="51"/>
    </i>
    <i r="1">
      <x v="53"/>
    </i>
    <i r="1">
      <x v="54"/>
    </i>
    <i r="1">
      <x v="55"/>
    </i>
    <i r="1">
      <x v="57"/>
    </i>
    <i r="1">
      <x v="58"/>
    </i>
    <i r="1">
      <x v="59"/>
    </i>
    <i r="1">
      <x v="61"/>
    </i>
    <i r="1">
      <x v="62"/>
    </i>
    <i r="1">
      <x v="63"/>
    </i>
    <i r="1">
      <x v="64"/>
    </i>
    <i r="1">
      <x v="65"/>
    </i>
    <i r="1">
      <x v="66"/>
    </i>
    <i r="1">
      <x v="67"/>
    </i>
    <i r="1">
      <x v="68"/>
    </i>
    <i r="1">
      <x v="69"/>
    </i>
    <i r="1">
      <x v="70"/>
    </i>
    <i r="1">
      <x v="71"/>
    </i>
    <i r="1">
      <x v="72"/>
    </i>
    <i r="1">
      <x v="73"/>
    </i>
    <i>
      <x v="2"/>
      <x v="8"/>
    </i>
    <i r="1">
      <x v="16"/>
    </i>
    <i r="1">
      <x v="20"/>
    </i>
    <i r="1">
      <x v="22"/>
    </i>
    <i r="1">
      <x v="39"/>
    </i>
    <i r="1">
      <x v="43"/>
    </i>
    <i r="1">
      <x v="44"/>
    </i>
    <i r="1">
      <x v="47"/>
    </i>
    <i r="1">
      <x v="49"/>
    </i>
    <i r="1">
      <x v="50"/>
    </i>
    <i r="1">
      <x v="61"/>
    </i>
    <i t="grand">
      <x/>
    </i>
  </rowItems>
  <colFields count="1">
    <field x="15"/>
  </colFields>
  <colItems count="8">
    <i>
      <x/>
    </i>
    <i>
      <x v="1"/>
    </i>
    <i>
      <x v="2"/>
    </i>
    <i>
      <x v="3"/>
    </i>
    <i>
      <x v="5"/>
    </i>
    <i>
      <x v="6"/>
    </i>
    <i>
      <x v="7"/>
    </i>
    <i t="grand">
      <x/>
    </i>
  </colItems>
  <dataFields count="1">
    <dataField name="Average of TotalWater_m3_tonCu" fld="16" subtotal="average" baseField="0" baseItem="0" numFmtId="164"/>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F342D7-5048-4B23-9F33-FCC50F154C07}" name="PT_Table1" cacheId="15" applyNumberFormats="0" applyBorderFormats="0" applyFontFormats="0" applyPatternFormats="0" applyAlignmentFormats="0" applyWidthHeightFormats="1" dataCaption="Values" updatedVersion="8" minRefreshableVersion="3" asteriskTotals="1" showDrill="0" useAutoFormatting="1" itemPrintTitles="1" createdVersion="8" indent="0" compact="0" compactData="0" gridDropZones="1" multipleFieldFilters="0">
  <location ref="E7:H12" firstHeaderRow="1" firstDataRow="2" firstDataCol="1"/>
  <pivotFields count="18">
    <pivotField compact="0" outline="0" showAll="0" defaultSubtotal="0"/>
    <pivotField axis="axisRow" compact="0" outline="0" showAll="0" defaultSubtotal="0">
      <items count="5">
        <item x="2"/>
        <item x="0"/>
        <item m="1" x="4"/>
        <item m="1" x="3"/>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164" outline="0" showAll="0" defaultSubtotal="0"/>
    <pivotField dataField="1" compact="0" outline="0" showAll="0" defaultSubtotal="0"/>
  </pivotFields>
  <rowFields count="1">
    <field x="1"/>
  </rowFields>
  <rowItems count="4">
    <i>
      <x/>
    </i>
    <i>
      <x v="1"/>
    </i>
    <i>
      <x v="4"/>
    </i>
    <i t="grand">
      <x/>
    </i>
  </rowItems>
  <colFields count="1">
    <field x="-2"/>
  </colFields>
  <colItems count="3">
    <i>
      <x/>
    </i>
    <i i="1">
      <x v="1"/>
    </i>
    <i i="2">
      <x v="2"/>
    </i>
  </colItems>
  <dataFields count="3">
    <dataField name="Average of Grade ore Cu%" fld="7" subtotal="average" baseField="0" baseItem="0" numFmtId="10"/>
    <dataField name="Average of TotalWater_m3_tonCu" fld="16" subtotal="average" baseField="0" baseItem="0" numFmtId="3"/>
    <dataField name="Average of m3_perTonOre" fld="17" subtotal="average" baseField="0" baseItem="0" numFmtId="4"/>
  </dataFields>
  <formats count="3">
    <format dxfId="15">
      <pivotArea outline="0" fieldPosition="0">
        <references count="1">
          <reference field="4294967294" count="1" selected="0">
            <x v="0"/>
          </reference>
        </references>
      </pivotArea>
    </format>
    <format dxfId="14">
      <pivotArea outline="0" fieldPosition="0">
        <references count="1">
          <reference field="4294967294" count="1" selected="0">
            <x v="1"/>
          </reference>
        </references>
      </pivotArea>
    </format>
    <format dxfId="13">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08EFC7-9A9F-49F0-B5BA-41DE04159A39}" name="Table1" displayName="Table1" ref="A1:R102" totalsRowShown="0" headerRowDxfId="12">
  <autoFilter ref="A1:R102" xr:uid="{C408EFC7-9A9F-49F0-B5BA-41DE04159A39}">
    <filterColumn colId="7">
      <customFilters>
        <customFilter operator="notEqual" val=" "/>
      </customFilters>
    </filterColumn>
  </autoFilter>
  <tableColumns count="18">
    <tableColumn id="1" xr3:uid="{C9D58857-B38B-4389-9B27-AC85C80F625D}" name="Order"/>
    <tableColumn id="17" xr3:uid="{62FE768B-CA0D-4BB2-9F7C-4A0DF20D4548}" name="Mineral"/>
    <tableColumn id="2" xr3:uid="{7E71FE40-3809-418B-9E76-F5DCA41A3823}" name="Country"/>
    <tableColumn id="3" xr3:uid="{F7325B3F-1CC8-4377-8A06-2503A80DEABA}" name="Deposit"/>
    <tableColumn id="4" xr3:uid="{6446CE34-7353-494F-8AFA-8B46BD4F8D57}" name="Resource_type"/>
    <tableColumn id="5" xr3:uid="{2E7AD0D3-DBEF-446D-8CE4-C2806DD0386C}" name="Mine_type"/>
    <tableColumn id="6" xr3:uid="{08CBBA27-5134-4038-A3B0-3FCE93E34D92}" name="Products"/>
    <tableColumn id="7" xr3:uid="{CE05BCBA-2F64-406E-9985-F57D198A4DF2}" name="Grade ore Cu%" dataDxfId="11"/>
    <tableColumn id="8" xr3:uid="{97028D6C-8853-4A86-ACDF-DC36418D957C}" name="Ref_grade"/>
    <tableColumn id="9" xr3:uid="{C7BD0C28-7844-46D1-8AA3-82E8E0AA8631}" name="Freshwater"/>
    <tableColumn id="10" xr3:uid="{A4D57BF1-6E65-47D1-8462-68768C30F7E1}" name="Unit num"/>
    <tableColumn id="11" xr3:uid="{18D05820-4E2D-4A19-BDAE-20FD2C4C5531}" name="Unit den"/>
    <tableColumn id="12" xr3:uid="{356F3778-71D4-4A1F-BF58-B3D3FE1378E4}" name="Detail"/>
    <tableColumn id="13" xr3:uid="{EE2ED358-383A-486C-B2DB-DD519728A232}" name="Water type"/>
    <tableColumn id="14" xr3:uid="{1B8D2C05-12F5-4FF6-9399-B5FD7CA65244}" name="Ref_Water"/>
    <tableColumn id="15" xr3:uid="{7D79D0ED-A044-4FA8-B2AC-B65AE39F3268}" name="Ref_Water2">
      <calculatedColumnFormula>+VLOOKUP(O2,References!$A$2:$F$29,2,0)</calculatedColumnFormula>
    </tableColumn>
    <tableColumn id="16" xr3:uid="{C07E0377-CC0D-4201-8473-4FE1E767870E}" name="TotalWater_m3_tonCu" dataDxfId="10">
      <calculatedColumnFormula>+VLOOKUP(K2&amp;L2,Unit_Normalization!$A$2:$D$24,4,0)*J2</calculatedColumnFormula>
    </tableColumn>
    <tableColumn id="18" xr3:uid="{3638CE58-CF6F-42F1-B599-4A1E0BC1B5F4}" name="m3_perTonOre" dataDxfId="9">
      <calculatedColumnFormula>+Table1[[#This Row],[TotalWater_m3_tonCu]]*Table1[[#This Row],[Grade ore Cu%]]</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kghm.com/en/our-business/mining-and-enrichment/rudna"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oi.org/10.1111/jiec.12036" TargetMode="External"/><Relationship Id="rId2" Type="http://schemas.openxmlformats.org/officeDocument/2006/relationships/hyperlink" Target="https://doi.org/10.3390/su12229660" TargetMode="External"/><Relationship Id="rId1" Type="http://schemas.openxmlformats.org/officeDocument/2006/relationships/hyperlink" Target="https://doi.org/10.57938/441b6e21-b914-4565-a2af-623f78ed92c6" TargetMode="External"/><Relationship Id="rId5" Type="http://schemas.openxmlformats.org/officeDocument/2006/relationships/printerSettings" Target="../printerSettings/printerSettings2.bin"/><Relationship Id="rId4" Type="http://schemas.openxmlformats.org/officeDocument/2006/relationships/hyperlink" Target="https://doi.org/10.1007/s10230-008-0037-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36D4D-FE12-491C-800C-ED534E6D4B77}">
  <dimension ref="E1:N88"/>
  <sheetViews>
    <sheetView workbookViewId="0">
      <selection activeCell="H24" sqref="H24"/>
    </sheetView>
  </sheetViews>
  <sheetFormatPr defaultRowHeight="14.4" x14ac:dyDescent="0.3"/>
  <cols>
    <col min="1" max="4" width="10.77734375" customWidth="1"/>
    <col min="5" max="5" width="25.6640625" bestFit="1" customWidth="1"/>
    <col min="6" max="6" width="19.33203125" bestFit="1" customWidth="1"/>
    <col min="7" max="13" width="17.88671875" bestFit="1" customWidth="1"/>
    <col min="14" max="14" width="10.5546875" bestFit="1" customWidth="1"/>
    <col min="15" max="16" width="10.33203125" bestFit="1" customWidth="1"/>
  </cols>
  <sheetData>
    <row r="1" spans="5:14" ht="15" customHeight="1" x14ac:dyDescent="0.3"/>
    <row r="2" spans="5:14" ht="15" customHeight="1" x14ac:dyDescent="0.3"/>
    <row r="3" spans="5:14" ht="15" customHeight="1" x14ac:dyDescent="0.3"/>
    <row r="4" spans="5:14" ht="15" customHeight="1" x14ac:dyDescent="0.3"/>
    <row r="7" spans="5:14" x14ac:dyDescent="0.3">
      <c r="E7" s="12" t="s">
        <v>387</v>
      </c>
      <c r="G7" s="12" t="s">
        <v>9</v>
      </c>
    </row>
    <row r="8" spans="5:14" x14ac:dyDescent="0.3">
      <c r="E8" s="12" t="s">
        <v>384</v>
      </c>
      <c r="F8" s="12" t="s">
        <v>0</v>
      </c>
      <c r="G8" t="s">
        <v>302</v>
      </c>
      <c r="H8" t="s">
        <v>303</v>
      </c>
      <c r="I8" t="s">
        <v>440</v>
      </c>
      <c r="J8" t="s">
        <v>395</v>
      </c>
      <c r="K8" t="s">
        <v>447</v>
      </c>
      <c r="L8" t="s">
        <v>464</v>
      </c>
      <c r="M8" t="s">
        <v>470</v>
      </c>
      <c r="N8" t="s">
        <v>382</v>
      </c>
    </row>
    <row r="9" spans="5:14" x14ac:dyDescent="0.3">
      <c r="E9" t="s">
        <v>386</v>
      </c>
      <c r="F9" t="s">
        <v>157</v>
      </c>
      <c r="G9" s="13"/>
      <c r="H9" s="13">
        <v>99.4</v>
      </c>
      <c r="I9" s="13"/>
      <c r="J9" s="13"/>
      <c r="K9" s="13"/>
      <c r="L9" s="13"/>
      <c r="M9" s="13"/>
      <c r="N9" s="13">
        <v>99.4</v>
      </c>
    </row>
    <row r="10" spans="5:14" x14ac:dyDescent="0.3">
      <c r="F10" t="s">
        <v>350</v>
      </c>
      <c r="G10" s="13">
        <v>750</v>
      </c>
      <c r="H10" s="13"/>
      <c r="I10" s="13"/>
      <c r="J10" s="13"/>
      <c r="K10" s="13"/>
      <c r="L10" s="13"/>
      <c r="M10" s="13"/>
      <c r="N10" s="13">
        <v>750</v>
      </c>
    </row>
    <row r="11" spans="5:14" x14ac:dyDescent="0.3">
      <c r="F11" t="s">
        <v>352</v>
      </c>
      <c r="G11" s="13">
        <v>148</v>
      </c>
      <c r="H11" s="13"/>
      <c r="I11" s="13"/>
      <c r="J11" s="13"/>
      <c r="K11" s="13"/>
      <c r="L11" s="13"/>
      <c r="M11" s="13"/>
      <c r="N11" s="13">
        <v>148</v>
      </c>
    </row>
    <row r="12" spans="5:14" x14ac:dyDescent="0.3">
      <c r="F12" t="s">
        <v>39</v>
      </c>
      <c r="G12" s="13"/>
      <c r="H12" s="13">
        <v>49</v>
      </c>
      <c r="I12" s="13"/>
      <c r="J12" s="13"/>
      <c r="K12" s="13"/>
      <c r="L12" s="13"/>
      <c r="M12" s="13"/>
      <c r="N12" s="13">
        <v>49</v>
      </c>
    </row>
    <row r="13" spans="5:14" x14ac:dyDescent="0.3">
      <c r="F13" t="s">
        <v>331</v>
      </c>
      <c r="G13" s="13">
        <v>162</v>
      </c>
      <c r="H13" s="13"/>
      <c r="I13" s="13"/>
      <c r="J13" s="13"/>
      <c r="K13" s="13"/>
      <c r="L13" s="13"/>
      <c r="M13" s="13"/>
      <c r="N13" s="13">
        <v>162</v>
      </c>
    </row>
    <row r="14" spans="5:14" x14ac:dyDescent="0.3">
      <c r="F14" t="s">
        <v>183</v>
      </c>
      <c r="G14" s="13"/>
      <c r="H14" s="13">
        <v>48.2</v>
      </c>
      <c r="I14" s="13"/>
      <c r="J14" s="13"/>
      <c r="K14" s="13"/>
      <c r="L14" s="13"/>
      <c r="M14" s="13"/>
      <c r="N14" s="13">
        <v>48.2</v>
      </c>
    </row>
    <row r="15" spans="5:14" x14ac:dyDescent="0.3">
      <c r="F15" t="s">
        <v>189</v>
      </c>
      <c r="G15" s="13">
        <v>151</v>
      </c>
      <c r="H15" s="13"/>
      <c r="I15" s="13"/>
      <c r="J15" s="13"/>
      <c r="K15" s="13"/>
      <c r="L15" s="13"/>
      <c r="M15" s="13"/>
      <c r="N15" s="13">
        <v>151</v>
      </c>
    </row>
    <row r="16" spans="5:14" x14ac:dyDescent="0.3">
      <c r="F16" t="s">
        <v>328</v>
      </c>
      <c r="G16" s="13">
        <v>163</v>
      </c>
      <c r="H16" s="13"/>
      <c r="I16" s="13"/>
      <c r="J16" s="13"/>
      <c r="K16" s="13"/>
      <c r="L16" s="13"/>
      <c r="M16" s="13"/>
      <c r="N16" s="13">
        <v>163</v>
      </c>
    </row>
    <row r="17" spans="5:14" x14ac:dyDescent="0.3">
      <c r="F17" t="s">
        <v>355</v>
      </c>
      <c r="G17" s="13">
        <v>90</v>
      </c>
      <c r="H17" s="13"/>
      <c r="I17" s="13"/>
      <c r="J17" s="13"/>
      <c r="K17" s="13"/>
      <c r="L17" s="13"/>
      <c r="M17" s="13"/>
      <c r="N17" s="13">
        <v>90</v>
      </c>
    </row>
    <row r="18" spans="5:14" x14ac:dyDescent="0.3">
      <c r="F18" t="s">
        <v>325</v>
      </c>
      <c r="G18" s="13">
        <v>49</v>
      </c>
      <c r="H18" s="13"/>
      <c r="I18" s="13"/>
      <c r="J18" s="13"/>
      <c r="K18" s="13"/>
      <c r="L18" s="13"/>
      <c r="M18" s="13"/>
      <c r="N18" s="13">
        <v>49</v>
      </c>
    </row>
    <row r="19" spans="5:14" x14ac:dyDescent="0.3">
      <c r="F19" t="s">
        <v>322</v>
      </c>
      <c r="G19" s="13">
        <v>197</v>
      </c>
      <c r="H19" s="13"/>
      <c r="I19" s="13"/>
      <c r="J19" s="13"/>
      <c r="K19" s="13"/>
      <c r="L19" s="13"/>
      <c r="M19" s="13"/>
      <c r="N19" s="13">
        <v>197</v>
      </c>
    </row>
    <row r="20" spans="5:14" x14ac:dyDescent="0.3">
      <c r="F20" t="s">
        <v>347</v>
      </c>
      <c r="G20" s="13">
        <v>123</v>
      </c>
      <c r="H20" s="13"/>
      <c r="I20" s="13"/>
      <c r="J20" s="13"/>
      <c r="K20" s="13"/>
      <c r="L20" s="13"/>
      <c r="M20" s="13"/>
      <c r="N20" s="13">
        <v>123</v>
      </c>
    </row>
    <row r="21" spans="5:14" x14ac:dyDescent="0.3">
      <c r="F21" t="s">
        <v>334</v>
      </c>
      <c r="G21" s="13">
        <v>321</v>
      </c>
      <c r="H21" s="13"/>
      <c r="I21" s="13"/>
      <c r="J21" s="13"/>
      <c r="K21" s="13"/>
      <c r="L21" s="13"/>
      <c r="M21" s="13"/>
      <c r="N21" s="13">
        <v>321</v>
      </c>
    </row>
    <row r="22" spans="5:14" x14ac:dyDescent="0.3">
      <c r="F22" t="s">
        <v>357</v>
      </c>
      <c r="G22" s="13">
        <v>71</v>
      </c>
      <c r="H22" s="13"/>
      <c r="I22" s="13"/>
      <c r="J22" s="13"/>
      <c r="K22" s="13"/>
      <c r="L22" s="13"/>
      <c r="M22" s="13"/>
      <c r="N22" s="13">
        <v>71</v>
      </c>
    </row>
    <row r="23" spans="5:14" x14ac:dyDescent="0.3">
      <c r="F23" t="s">
        <v>348</v>
      </c>
      <c r="G23" s="13">
        <v>379</v>
      </c>
      <c r="H23" s="13"/>
      <c r="I23" s="13"/>
      <c r="J23" s="13"/>
      <c r="K23" s="13"/>
      <c r="L23" s="13"/>
      <c r="M23" s="13"/>
      <c r="N23" s="13">
        <v>379</v>
      </c>
    </row>
    <row r="24" spans="5:14" x14ac:dyDescent="0.3">
      <c r="F24" t="s">
        <v>351</v>
      </c>
      <c r="G24" s="13">
        <v>61</v>
      </c>
      <c r="H24" s="13"/>
      <c r="I24" s="13"/>
      <c r="J24" s="13"/>
      <c r="K24" s="13"/>
      <c r="L24" s="13"/>
      <c r="M24" s="13"/>
      <c r="N24" s="13">
        <v>61</v>
      </c>
    </row>
    <row r="25" spans="5:14" x14ac:dyDescent="0.3">
      <c r="F25" t="s">
        <v>86</v>
      </c>
      <c r="G25" s="13"/>
      <c r="H25" s="13">
        <v>74</v>
      </c>
      <c r="I25" s="13"/>
      <c r="J25" s="13"/>
      <c r="K25" s="13"/>
      <c r="L25" s="13"/>
      <c r="M25" s="13"/>
      <c r="N25" s="13">
        <v>74</v>
      </c>
    </row>
    <row r="26" spans="5:14" x14ac:dyDescent="0.3">
      <c r="F26" t="s">
        <v>279</v>
      </c>
      <c r="G26" s="13">
        <v>119</v>
      </c>
      <c r="H26" s="13"/>
      <c r="I26" s="13"/>
      <c r="J26" s="13"/>
      <c r="K26" s="13"/>
      <c r="L26" s="13"/>
      <c r="M26" s="13"/>
      <c r="N26" s="13">
        <v>119</v>
      </c>
    </row>
    <row r="27" spans="5:14" x14ac:dyDescent="0.3">
      <c r="F27" t="s">
        <v>337</v>
      </c>
      <c r="G27" s="13">
        <v>74</v>
      </c>
      <c r="H27" s="13"/>
      <c r="I27" s="13"/>
      <c r="J27" s="13"/>
      <c r="K27" s="13"/>
      <c r="L27" s="13"/>
      <c r="M27" s="13"/>
      <c r="N27" s="13">
        <v>74</v>
      </c>
    </row>
    <row r="28" spans="5:14" x14ac:dyDescent="0.3">
      <c r="F28" t="s">
        <v>224</v>
      </c>
      <c r="G28" s="13"/>
      <c r="H28" s="13">
        <v>321.3</v>
      </c>
      <c r="I28" s="13"/>
      <c r="J28" s="13"/>
      <c r="K28" s="13"/>
      <c r="L28" s="13"/>
      <c r="M28" s="13"/>
      <c r="N28" s="13">
        <v>321.3</v>
      </c>
    </row>
    <row r="29" spans="5:14" x14ac:dyDescent="0.3">
      <c r="F29" t="s">
        <v>121</v>
      </c>
      <c r="G29" s="13">
        <v>1181</v>
      </c>
      <c r="H29" s="13">
        <v>161.1</v>
      </c>
      <c r="I29" s="13"/>
      <c r="J29" s="13"/>
      <c r="K29" s="13"/>
      <c r="L29" s="13"/>
      <c r="M29" s="13"/>
      <c r="N29" s="13">
        <v>671.05</v>
      </c>
    </row>
    <row r="30" spans="5:14" x14ac:dyDescent="0.3">
      <c r="F30" t="s">
        <v>341</v>
      </c>
      <c r="G30" s="13">
        <v>142</v>
      </c>
      <c r="H30" s="13"/>
      <c r="I30" s="13"/>
      <c r="J30" s="13"/>
      <c r="K30" s="13"/>
      <c r="L30" s="13"/>
      <c r="M30" s="13"/>
      <c r="N30" s="13">
        <v>142</v>
      </c>
    </row>
    <row r="31" spans="5:14" x14ac:dyDescent="0.3">
      <c r="F31" t="s">
        <v>474</v>
      </c>
      <c r="G31" s="13"/>
      <c r="H31" s="13"/>
      <c r="I31" s="13"/>
      <c r="J31" s="13"/>
      <c r="K31" s="13">
        <v>125.76443411192756</v>
      </c>
      <c r="L31" s="13">
        <v>131.66666666666666</v>
      </c>
      <c r="M31" s="13"/>
      <c r="N31" s="13">
        <v>127.37413389958368</v>
      </c>
    </row>
    <row r="32" spans="5:14" x14ac:dyDescent="0.3">
      <c r="E32" t="s">
        <v>299</v>
      </c>
      <c r="F32" t="s">
        <v>340</v>
      </c>
      <c r="G32" s="13">
        <v>267</v>
      </c>
      <c r="H32" s="13"/>
      <c r="I32" s="13"/>
      <c r="J32" s="13"/>
      <c r="K32" s="13"/>
      <c r="L32" s="13"/>
      <c r="M32" s="13"/>
      <c r="N32" s="13">
        <v>267</v>
      </c>
    </row>
    <row r="33" spans="6:14" x14ac:dyDescent="0.3">
      <c r="F33" t="s">
        <v>130</v>
      </c>
      <c r="G33" s="13"/>
      <c r="H33" s="13">
        <v>91.3</v>
      </c>
      <c r="I33" s="13"/>
      <c r="J33" s="13"/>
      <c r="K33" s="13"/>
      <c r="L33" s="13"/>
      <c r="M33" s="13"/>
      <c r="N33" s="13">
        <v>91.3</v>
      </c>
    </row>
    <row r="34" spans="6:14" x14ac:dyDescent="0.3">
      <c r="F34" t="s">
        <v>349</v>
      </c>
      <c r="G34" s="13">
        <v>152</v>
      </c>
      <c r="H34" s="13"/>
      <c r="I34" s="13"/>
      <c r="J34" s="13"/>
      <c r="K34" s="13"/>
      <c r="L34" s="13"/>
      <c r="M34" s="13"/>
      <c r="N34" s="13">
        <v>152</v>
      </c>
    </row>
    <row r="35" spans="6:14" x14ac:dyDescent="0.3">
      <c r="F35" t="s">
        <v>333</v>
      </c>
      <c r="G35" s="13">
        <v>129</v>
      </c>
      <c r="H35" s="13"/>
      <c r="I35" s="13"/>
      <c r="J35" s="13"/>
      <c r="K35" s="13"/>
      <c r="L35" s="13"/>
      <c r="M35" s="13"/>
      <c r="N35" s="13">
        <v>129</v>
      </c>
    </row>
    <row r="36" spans="6:14" x14ac:dyDescent="0.3">
      <c r="F36" t="s">
        <v>345</v>
      </c>
      <c r="G36" s="13">
        <v>118</v>
      </c>
      <c r="H36" s="13"/>
      <c r="I36" s="13"/>
      <c r="J36" s="13"/>
      <c r="K36" s="13"/>
      <c r="L36" s="13"/>
      <c r="M36" s="13"/>
      <c r="N36" s="13">
        <v>118</v>
      </c>
    </row>
    <row r="37" spans="6:14" x14ac:dyDescent="0.3">
      <c r="F37" t="s">
        <v>344</v>
      </c>
      <c r="G37" s="13">
        <v>163</v>
      </c>
      <c r="H37" s="13"/>
      <c r="I37" s="13"/>
      <c r="J37" s="13"/>
      <c r="K37" s="13"/>
      <c r="L37" s="13"/>
      <c r="M37" s="13"/>
      <c r="N37" s="13">
        <v>163</v>
      </c>
    </row>
    <row r="38" spans="6:14" x14ac:dyDescent="0.3">
      <c r="F38" t="s">
        <v>342</v>
      </c>
      <c r="G38" s="13">
        <v>826</v>
      </c>
      <c r="H38" s="13"/>
      <c r="I38" s="13"/>
      <c r="J38" s="13"/>
      <c r="K38" s="13"/>
      <c r="L38" s="13"/>
      <c r="M38" s="13"/>
      <c r="N38" s="13">
        <v>826</v>
      </c>
    </row>
    <row r="39" spans="6:14" x14ac:dyDescent="0.3">
      <c r="F39" t="s">
        <v>167</v>
      </c>
      <c r="G39" s="13"/>
      <c r="H39" s="13">
        <v>53.3</v>
      </c>
      <c r="I39" s="13"/>
      <c r="J39" s="13">
        <v>51.099999999999994</v>
      </c>
      <c r="K39" s="13"/>
      <c r="L39" s="13"/>
      <c r="M39" s="13"/>
      <c r="N39" s="13">
        <v>51.833333333333336</v>
      </c>
    </row>
    <row r="40" spans="6:14" x14ac:dyDescent="0.3">
      <c r="F40" t="s">
        <v>175</v>
      </c>
      <c r="G40" s="13"/>
      <c r="H40" s="13">
        <v>31.9</v>
      </c>
      <c r="I40" s="13"/>
      <c r="J40" s="13"/>
      <c r="K40" s="13"/>
      <c r="L40" s="13"/>
      <c r="M40" s="13"/>
      <c r="N40" s="13">
        <v>31.9</v>
      </c>
    </row>
    <row r="41" spans="6:14" x14ac:dyDescent="0.3">
      <c r="F41" t="s">
        <v>330</v>
      </c>
      <c r="G41" s="13">
        <v>192</v>
      </c>
      <c r="H41" s="13"/>
      <c r="I41" s="13"/>
      <c r="J41" s="13"/>
      <c r="K41" s="13"/>
      <c r="L41" s="13"/>
      <c r="M41" s="13"/>
      <c r="N41" s="13">
        <v>192</v>
      </c>
    </row>
    <row r="42" spans="6:14" x14ac:dyDescent="0.3">
      <c r="F42" t="s">
        <v>52</v>
      </c>
      <c r="G42" s="13"/>
      <c r="H42" s="13">
        <v>42.3</v>
      </c>
      <c r="I42" s="13"/>
      <c r="J42" s="13"/>
      <c r="K42" s="13"/>
      <c r="L42" s="13"/>
      <c r="M42" s="13"/>
      <c r="N42" s="13">
        <v>42.3</v>
      </c>
    </row>
    <row r="43" spans="6:14" x14ac:dyDescent="0.3">
      <c r="F43" t="s">
        <v>195</v>
      </c>
      <c r="G43" s="13">
        <v>85</v>
      </c>
      <c r="H43" s="13">
        <v>52.5</v>
      </c>
      <c r="I43" s="13"/>
      <c r="J43" s="13">
        <v>24.799999999999997</v>
      </c>
      <c r="K43" s="13"/>
      <c r="L43" s="13"/>
      <c r="M43" s="13"/>
      <c r="N43" s="13">
        <v>46.775000000000006</v>
      </c>
    </row>
    <row r="44" spans="6:14" x14ac:dyDescent="0.3">
      <c r="F44" t="s">
        <v>139</v>
      </c>
      <c r="G44" s="13">
        <v>161</v>
      </c>
      <c r="H44" s="13"/>
      <c r="I44" s="13"/>
      <c r="J44" s="13"/>
      <c r="K44" s="13"/>
      <c r="L44" s="13"/>
      <c r="M44" s="13"/>
      <c r="N44" s="13">
        <v>161</v>
      </c>
    </row>
    <row r="45" spans="6:14" x14ac:dyDescent="0.3">
      <c r="F45" t="s">
        <v>287</v>
      </c>
      <c r="G45" s="13"/>
      <c r="H45" s="13">
        <v>9.8000000000000007</v>
      </c>
      <c r="I45" s="13"/>
      <c r="J45" s="13"/>
      <c r="K45" s="13"/>
      <c r="L45" s="13"/>
      <c r="M45" s="13"/>
      <c r="N45" s="13">
        <v>9.8000000000000007</v>
      </c>
    </row>
    <row r="46" spans="6:14" x14ac:dyDescent="0.3">
      <c r="F46" t="s">
        <v>148</v>
      </c>
      <c r="G46" s="13"/>
      <c r="H46" s="13">
        <v>76.7</v>
      </c>
      <c r="I46" s="13"/>
      <c r="J46" s="13"/>
      <c r="K46" s="13"/>
      <c r="L46" s="13"/>
      <c r="M46" s="13"/>
      <c r="N46" s="13">
        <v>76.7</v>
      </c>
    </row>
    <row r="47" spans="6:14" x14ac:dyDescent="0.3">
      <c r="F47" t="s">
        <v>332</v>
      </c>
      <c r="G47" s="13">
        <v>199</v>
      </c>
      <c r="H47" s="13"/>
      <c r="I47" s="13"/>
      <c r="J47" s="13"/>
      <c r="K47" s="13"/>
      <c r="L47" s="13"/>
      <c r="M47" s="13"/>
      <c r="N47" s="13">
        <v>199</v>
      </c>
    </row>
    <row r="48" spans="6:14" x14ac:dyDescent="0.3">
      <c r="F48" t="s">
        <v>203</v>
      </c>
      <c r="G48" s="13"/>
      <c r="H48" s="13">
        <v>75.5</v>
      </c>
      <c r="I48" s="13"/>
      <c r="J48" s="13"/>
      <c r="K48" s="13"/>
      <c r="L48" s="13"/>
      <c r="M48" s="13"/>
      <c r="N48" s="13">
        <v>75.5</v>
      </c>
    </row>
    <row r="49" spans="6:14" x14ac:dyDescent="0.3">
      <c r="F49" t="s">
        <v>209</v>
      </c>
      <c r="G49" s="13"/>
      <c r="H49" s="13">
        <v>80.7</v>
      </c>
      <c r="I49" s="13"/>
      <c r="J49" s="13"/>
      <c r="K49" s="13"/>
      <c r="L49" s="13"/>
      <c r="M49" s="13"/>
      <c r="N49" s="13">
        <v>80.7</v>
      </c>
    </row>
    <row r="50" spans="6:14" x14ac:dyDescent="0.3">
      <c r="F50" t="s">
        <v>324</v>
      </c>
      <c r="G50" s="13">
        <v>149</v>
      </c>
      <c r="H50" s="13"/>
      <c r="I50" s="13"/>
      <c r="J50" s="13"/>
      <c r="K50" s="13"/>
      <c r="L50" s="13"/>
      <c r="M50" s="13"/>
      <c r="N50" s="13">
        <v>149</v>
      </c>
    </row>
    <row r="51" spans="6:14" x14ac:dyDescent="0.3">
      <c r="F51" t="s">
        <v>214</v>
      </c>
      <c r="G51" s="13"/>
      <c r="H51" s="13">
        <v>226.5</v>
      </c>
      <c r="I51" s="13"/>
      <c r="J51" s="13">
        <v>58.25</v>
      </c>
      <c r="K51" s="13"/>
      <c r="L51" s="13"/>
      <c r="M51" s="13"/>
      <c r="N51" s="13">
        <v>114.33333333333333</v>
      </c>
    </row>
    <row r="52" spans="6:14" x14ac:dyDescent="0.3">
      <c r="F52" t="s">
        <v>219</v>
      </c>
      <c r="G52" s="13"/>
      <c r="H52" s="13">
        <v>46.6</v>
      </c>
      <c r="I52" s="13"/>
      <c r="J52" s="13"/>
      <c r="K52" s="13"/>
      <c r="L52" s="13"/>
      <c r="M52" s="13"/>
      <c r="N52" s="13">
        <v>46.6</v>
      </c>
    </row>
    <row r="53" spans="6:14" x14ac:dyDescent="0.3">
      <c r="F53" t="s">
        <v>346</v>
      </c>
      <c r="G53" s="13">
        <v>115</v>
      </c>
      <c r="H53" s="13"/>
      <c r="I53" s="13"/>
      <c r="J53" s="13"/>
      <c r="K53" s="13"/>
      <c r="L53" s="13"/>
      <c r="M53" s="13"/>
      <c r="N53" s="13">
        <v>115</v>
      </c>
    </row>
    <row r="54" spans="6:14" x14ac:dyDescent="0.3">
      <c r="F54" t="s">
        <v>279</v>
      </c>
      <c r="G54" s="13"/>
      <c r="H54" s="13">
        <v>38.799999999999997</v>
      </c>
      <c r="I54" s="13"/>
      <c r="J54" s="13"/>
      <c r="K54" s="13"/>
      <c r="L54" s="13"/>
      <c r="M54" s="13"/>
      <c r="N54" s="13">
        <v>38.799999999999997</v>
      </c>
    </row>
    <row r="55" spans="6:14" x14ac:dyDescent="0.3">
      <c r="F55" t="s">
        <v>105</v>
      </c>
      <c r="G55" s="13"/>
      <c r="H55" s="13">
        <v>39.799999999999997</v>
      </c>
      <c r="I55" s="13"/>
      <c r="J55" s="13"/>
      <c r="K55" s="13"/>
      <c r="L55" s="13"/>
      <c r="M55" s="13"/>
      <c r="N55" s="13">
        <v>39.799999999999997</v>
      </c>
    </row>
    <row r="56" spans="6:14" x14ac:dyDescent="0.3">
      <c r="F56" t="s">
        <v>230</v>
      </c>
      <c r="G56" s="13"/>
      <c r="H56" s="13">
        <v>21.9</v>
      </c>
      <c r="I56" s="13"/>
      <c r="J56" s="13">
        <v>21.6</v>
      </c>
      <c r="K56" s="13"/>
      <c r="L56" s="13"/>
      <c r="M56" s="13"/>
      <c r="N56" s="13">
        <v>21.75</v>
      </c>
    </row>
    <row r="57" spans="6:14" x14ac:dyDescent="0.3">
      <c r="F57" t="s">
        <v>359</v>
      </c>
      <c r="G57" s="13">
        <v>160</v>
      </c>
      <c r="H57" s="13"/>
      <c r="I57" s="13"/>
      <c r="J57" s="13"/>
      <c r="K57" s="13"/>
      <c r="L57" s="13"/>
      <c r="M57" s="13"/>
      <c r="N57" s="13">
        <v>160</v>
      </c>
    </row>
    <row r="58" spans="6:14" x14ac:dyDescent="0.3">
      <c r="F58" t="s">
        <v>353</v>
      </c>
      <c r="G58" s="13">
        <v>172</v>
      </c>
      <c r="H58" s="13"/>
      <c r="I58" s="13"/>
      <c r="J58" s="13"/>
      <c r="K58" s="13"/>
      <c r="L58" s="13"/>
      <c r="M58" s="13"/>
      <c r="N58" s="13">
        <v>172</v>
      </c>
    </row>
    <row r="59" spans="6:14" x14ac:dyDescent="0.3">
      <c r="F59" t="s">
        <v>247</v>
      </c>
      <c r="G59" s="13"/>
      <c r="H59" s="13">
        <v>34</v>
      </c>
      <c r="I59" s="13"/>
      <c r="J59" s="13"/>
      <c r="K59" s="13"/>
      <c r="L59" s="13"/>
      <c r="M59" s="13"/>
      <c r="N59" s="13">
        <v>34</v>
      </c>
    </row>
    <row r="60" spans="6:14" x14ac:dyDescent="0.3">
      <c r="F60" t="s">
        <v>354</v>
      </c>
      <c r="G60" s="13">
        <v>149</v>
      </c>
      <c r="H60" s="13"/>
      <c r="I60" s="13"/>
      <c r="J60" s="13"/>
      <c r="K60" s="13"/>
      <c r="L60" s="13"/>
      <c r="M60" s="13"/>
      <c r="N60" s="13">
        <v>149</v>
      </c>
    </row>
    <row r="61" spans="6:14" x14ac:dyDescent="0.3">
      <c r="F61" t="s">
        <v>326</v>
      </c>
      <c r="G61" s="13">
        <v>72</v>
      </c>
      <c r="H61" s="13"/>
      <c r="I61" s="13"/>
      <c r="J61" s="13"/>
      <c r="K61" s="13"/>
      <c r="L61" s="13"/>
      <c r="M61" s="13"/>
      <c r="N61" s="13">
        <v>72</v>
      </c>
    </row>
    <row r="62" spans="6:14" x14ac:dyDescent="0.3">
      <c r="F62" t="s">
        <v>272</v>
      </c>
      <c r="G62" s="13"/>
      <c r="H62" s="13">
        <v>42.5</v>
      </c>
      <c r="I62" s="13"/>
      <c r="J62" s="13"/>
      <c r="K62" s="13"/>
      <c r="L62" s="13"/>
      <c r="M62" s="13"/>
      <c r="N62" s="13">
        <v>42.5</v>
      </c>
    </row>
    <row r="63" spans="6:14" x14ac:dyDescent="0.3">
      <c r="F63" t="s">
        <v>318</v>
      </c>
      <c r="G63" s="13">
        <v>302</v>
      </c>
      <c r="H63" s="13"/>
      <c r="I63" s="13"/>
      <c r="J63" s="13"/>
      <c r="K63" s="13"/>
      <c r="L63" s="13"/>
      <c r="M63" s="13"/>
      <c r="N63" s="13">
        <v>302</v>
      </c>
    </row>
    <row r="64" spans="6:14" x14ac:dyDescent="0.3">
      <c r="F64" t="s">
        <v>474</v>
      </c>
      <c r="G64" s="13"/>
      <c r="H64" s="13"/>
      <c r="I64" s="13">
        <v>1110.1400000000001</v>
      </c>
      <c r="J64" s="13"/>
      <c r="K64" s="13"/>
      <c r="L64" s="13"/>
      <c r="M64" s="13">
        <v>7.0177868852458998</v>
      </c>
      <c r="N64" s="13">
        <v>558.57889344262298</v>
      </c>
    </row>
    <row r="65" spans="5:14" x14ac:dyDescent="0.3">
      <c r="F65" t="s">
        <v>408</v>
      </c>
      <c r="G65" s="13"/>
      <c r="H65" s="13"/>
      <c r="I65" s="13"/>
      <c r="J65" s="13">
        <v>43.9</v>
      </c>
      <c r="K65" s="13"/>
      <c r="L65" s="13"/>
      <c r="M65" s="13"/>
      <c r="N65" s="13">
        <v>43.9</v>
      </c>
    </row>
    <row r="66" spans="5:14" x14ac:dyDescent="0.3">
      <c r="F66" t="s">
        <v>410</v>
      </c>
      <c r="G66" s="13"/>
      <c r="H66" s="13"/>
      <c r="I66" s="13"/>
      <c r="J66" s="13">
        <v>58.9</v>
      </c>
      <c r="K66" s="13"/>
      <c r="L66" s="13"/>
      <c r="M66" s="13"/>
      <c r="N66" s="13">
        <v>58.9</v>
      </c>
    </row>
    <row r="67" spans="5:14" x14ac:dyDescent="0.3">
      <c r="F67" t="s">
        <v>412</v>
      </c>
      <c r="G67" s="13"/>
      <c r="H67" s="13"/>
      <c r="I67" s="13"/>
      <c r="J67" s="13">
        <v>34.9</v>
      </c>
      <c r="K67" s="13"/>
      <c r="L67" s="13"/>
      <c r="M67" s="13"/>
      <c r="N67" s="13">
        <v>34.9</v>
      </c>
    </row>
    <row r="68" spans="5:14" x14ac:dyDescent="0.3">
      <c r="F68" t="s">
        <v>415</v>
      </c>
      <c r="G68" s="13"/>
      <c r="H68" s="13"/>
      <c r="I68" s="13"/>
      <c r="J68" s="13">
        <v>13.9</v>
      </c>
      <c r="K68" s="13"/>
      <c r="L68" s="13"/>
      <c r="M68" s="13"/>
      <c r="N68" s="13">
        <v>13.9</v>
      </c>
    </row>
    <row r="69" spans="5:14" x14ac:dyDescent="0.3">
      <c r="F69" t="s">
        <v>416</v>
      </c>
      <c r="G69" s="13"/>
      <c r="H69" s="13"/>
      <c r="I69" s="13"/>
      <c r="J69" s="13">
        <v>43.1</v>
      </c>
      <c r="K69" s="13"/>
      <c r="L69" s="13"/>
      <c r="M69" s="13"/>
      <c r="N69" s="13">
        <v>43.1</v>
      </c>
    </row>
    <row r="70" spans="5:14" x14ac:dyDescent="0.3">
      <c r="F70" t="s">
        <v>417</v>
      </c>
      <c r="G70" s="13"/>
      <c r="H70" s="13"/>
      <c r="I70" s="13"/>
      <c r="J70" s="13">
        <v>47.3</v>
      </c>
      <c r="K70" s="13"/>
      <c r="L70" s="13"/>
      <c r="M70" s="13"/>
      <c r="N70" s="13">
        <v>47.3</v>
      </c>
    </row>
    <row r="71" spans="5:14" x14ac:dyDescent="0.3">
      <c r="F71" t="s">
        <v>418</v>
      </c>
      <c r="G71" s="13"/>
      <c r="H71" s="13"/>
      <c r="I71" s="13"/>
      <c r="J71" s="13">
        <v>27.7</v>
      </c>
      <c r="K71" s="13"/>
      <c r="L71" s="13"/>
      <c r="M71" s="13"/>
      <c r="N71" s="13">
        <v>27.7</v>
      </c>
    </row>
    <row r="72" spans="5:14" x14ac:dyDescent="0.3">
      <c r="F72" t="s">
        <v>423</v>
      </c>
      <c r="G72" s="13"/>
      <c r="H72" s="13"/>
      <c r="I72" s="13"/>
      <c r="J72" s="13">
        <v>183.8</v>
      </c>
      <c r="K72" s="13"/>
      <c r="L72" s="13"/>
      <c r="M72" s="13"/>
      <c r="N72" s="13">
        <v>183.8</v>
      </c>
    </row>
    <row r="73" spans="5:14" x14ac:dyDescent="0.3">
      <c r="F73" t="s">
        <v>424</v>
      </c>
      <c r="G73" s="13"/>
      <c r="H73" s="13"/>
      <c r="I73" s="13"/>
      <c r="J73" s="13">
        <v>42.6</v>
      </c>
      <c r="K73" s="13"/>
      <c r="L73" s="13"/>
      <c r="M73" s="13"/>
      <c r="N73" s="13">
        <v>42.6</v>
      </c>
    </row>
    <row r="74" spans="5:14" x14ac:dyDescent="0.3">
      <c r="F74" t="s">
        <v>432</v>
      </c>
      <c r="G74" s="13"/>
      <c r="H74" s="13"/>
      <c r="I74" s="13"/>
      <c r="J74" s="13">
        <v>59.6</v>
      </c>
      <c r="K74" s="13"/>
      <c r="L74" s="13"/>
      <c r="M74" s="13"/>
      <c r="N74" s="13">
        <v>59.6</v>
      </c>
    </row>
    <row r="75" spans="5:14" x14ac:dyDescent="0.3">
      <c r="F75" t="s">
        <v>433</v>
      </c>
      <c r="G75" s="13"/>
      <c r="H75" s="13"/>
      <c r="I75" s="13"/>
      <c r="J75" s="13">
        <v>280</v>
      </c>
      <c r="K75" s="13"/>
      <c r="L75" s="13"/>
      <c r="M75" s="13"/>
      <c r="N75" s="13">
        <v>280</v>
      </c>
    </row>
    <row r="76" spans="5:14" x14ac:dyDescent="0.3">
      <c r="F76" t="s">
        <v>434</v>
      </c>
      <c r="G76" s="13"/>
      <c r="H76" s="13"/>
      <c r="I76" s="13"/>
      <c r="J76" s="13">
        <v>60.9</v>
      </c>
      <c r="K76" s="13"/>
      <c r="L76" s="13"/>
      <c r="M76" s="13"/>
      <c r="N76" s="13">
        <v>60.9</v>
      </c>
    </row>
    <row r="77" spans="5:14" x14ac:dyDescent="0.3">
      <c r="E77" t="s">
        <v>300</v>
      </c>
      <c r="F77" t="s">
        <v>265</v>
      </c>
      <c r="G77" s="13"/>
      <c r="H77" s="13">
        <v>87.3</v>
      </c>
      <c r="I77" s="13"/>
      <c r="J77" s="13"/>
      <c r="K77" s="13"/>
      <c r="L77" s="13"/>
      <c r="M77" s="13"/>
      <c r="N77" s="13">
        <v>87.3</v>
      </c>
    </row>
    <row r="78" spans="5:14" x14ac:dyDescent="0.3">
      <c r="F78" t="s">
        <v>189</v>
      </c>
      <c r="G78" s="13"/>
      <c r="H78" s="13">
        <v>139.69999999999999</v>
      </c>
      <c r="I78" s="13"/>
      <c r="J78" s="13"/>
      <c r="K78" s="13"/>
      <c r="L78" s="13"/>
      <c r="M78" s="13"/>
      <c r="N78" s="13">
        <v>139.69999999999999</v>
      </c>
    </row>
    <row r="79" spans="5:14" x14ac:dyDescent="0.3">
      <c r="F79" t="s">
        <v>64</v>
      </c>
      <c r="G79" s="13"/>
      <c r="H79" s="13">
        <v>33</v>
      </c>
      <c r="I79" s="13"/>
      <c r="J79" s="13"/>
      <c r="K79" s="13"/>
      <c r="L79" s="13"/>
      <c r="M79" s="13"/>
      <c r="N79" s="13">
        <v>33</v>
      </c>
    </row>
    <row r="80" spans="5:14" x14ac:dyDescent="0.3">
      <c r="F80" t="s">
        <v>139</v>
      </c>
      <c r="G80" s="13"/>
      <c r="H80" s="13">
        <v>135.4</v>
      </c>
      <c r="I80" s="13"/>
      <c r="J80" s="13"/>
      <c r="K80" s="13"/>
      <c r="L80" s="13"/>
      <c r="M80" s="13"/>
      <c r="N80" s="13">
        <v>135.4</v>
      </c>
    </row>
    <row r="81" spans="5:14" x14ac:dyDescent="0.3">
      <c r="F81" t="s">
        <v>76</v>
      </c>
      <c r="G81" s="13"/>
      <c r="H81" s="13">
        <v>19.5</v>
      </c>
      <c r="I81" s="13"/>
      <c r="J81" s="13"/>
      <c r="K81" s="13"/>
      <c r="L81" s="13"/>
      <c r="M81" s="13"/>
      <c r="N81" s="13">
        <v>19.5</v>
      </c>
    </row>
    <row r="82" spans="5:14" x14ac:dyDescent="0.3">
      <c r="F82" t="s">
        <v>94</v>
      </c>
      <c r="G82" s="13"/>
      <c r="H82" s="13">
        <v>46.6</v>
      </c>
      <c r="I82" s="13"/>
      <c r="J82" s="13"/>
      <c r="K82" s="13"/>
      <c r="L82" s="13"/>
      <c r="M82" s="13"/>
      <c r="N82" s="13">
        <v>46.6</v>
      </c>
    </row>
    <row r="83" spans="5:14" x14ac:dyDescent="0.3">
      <c r="F83" t="s">
        <v>255</v>
      </c>
      <c r="G83" s="13"/>
      <c r="H83" s="13">
        <v>94.4</v>
      </c>
      <c r="I83" s="13"/>
      <c r="J83" s="13"/>
      <c r="K83" s="13"/>
      <c r="L83" s="13"/>
      <c r="M83" s="13"/>
      <c r="N83" s="13">
        <v>94.4</v>
      </c>
    </row>
    <row r="84" spans="5:14" x14ac:dyDescent="0.3">
      <c r="F84" t="s">
        <v>238</v>
      </c>
      <c r="G84" s="13"/>
      <c r="H84" s="13">
        <v>211</v>
      </c>
      <c r="I84" s="13"/>
      <c r="J84" s="13"/>
      <c r="K84" s="13"/>
      <c r="L84" s="13"/>
      <c r="M84" s="13"/>
      <c r="N84" s="13">
        <v>211</v>
      </c>
    </row>
    <row r="85" spans="5:14" x14ac:dyDescent="0.3">
      <c r="F85" t="s">
        <v>114</v>
      </c>
      <c r="G85" s="13"/>
      <c r="H85" s="13">
        <v>1046.9000000000001</v>
      </c>
      <c r="I85" s="13"/>
      <c r="J85" s="13"/>
      <c r="K85" s="13"/>
      <c r="L85" s="13"/>
      <c r="M85" s="13"/>
      <c r="N85" s="13">
        <v>1046.9000000000001</v>
      </c>
    </row>
    <row r="86" spans="5:14" x14ac:dyDescent="0.3">
      <c r="F86" t="s">
        <v>339</v>
      </c>
      <c r="G86" s="13">
        <v>135</v>
      </c>
      <c r="H86" s="13"/>
      <c r="I86" s="13"/>
      <c r="J86" s="13"/>
      <c r="K86" s="13"/>
      <c r="L86" s="13"/>
      <c r="M86" s="13"/>
      <c r="N86" s="13">
        <v>135</v>
      </c>
    </row>
    <row r="87" spans="5:14" x14ac:dyDescent="0.3">
      <c r="F87" t="s">
        <v>474</v>
      </c>
      <c r="G87" s="13"/>
      <c r="H87" s="13"/>
      <c r="I87" s="13"/>
      <c r="J87" s="13"/>
      <c r="K87" s="13"/>
      <c r="L87" s="13"/>
      <c r="M87" s="13">
        <v>112.3155737704918</v>
      </c>
      <c r="N87" s="13">
        <v>112.3155737704918</v>
      </c>
    </row>
    <row r="88" spans="5:14" x14ac:dyDescent="0.3">
      <c r="E88" t="s">
        <v>382</v>
      </c>
      <c r="G88" s="13">
        <v>220.77142857142857</v>
      </c>
      <c r="H88" s="13">
        <v>113.9</v>
      </c>
      <c r="I88" s="13">
        <v>1110.1400000000001</v>
      </c>
      <c r="J88" s="13">
        <v>68.05714285714285</v>
      </c>
      <c r="K88" s="13">
        <v>125.76443411192756</v>
      </c>
      <c r="L88" s="13">
        <v>131.66666666666666</v>
      </c>
      <c r="M88" s="13">
        <v>59.666680327868846</v>
      </c>
      <c r="N88" s="13">
        <v>151.66028548070449</v>
      </c>
    </row>
  </sheetData>
  <conditionalFormatting sqref="F1:F1048576">
    <cfRule type="duplicateValues" dxfId="8"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93999-6DA0-41E5-8165-F1A08746C3C2}">
  <dimension ref="E1:H12"/>
  <sheetViews>
    <sheetView workbookViewId="0">
      <selection activeCell="H11" sqref="H11"/>
    </sheetView>
  </sheetViews>
  <sheetFormatPr defaultRowHeight="14.4" x14ac:dyDescent="0.3"/>
  <cols>
    <col min="1" max="4" width="10.6640625" customWidth="1"/>
    <col min="5" max="5" width="10.5546875" bestFit="1" customWidth="1"/>
    <col min="6" max="6" width="22.33203125" bestFit="1" customWidth="1"/>
    <col min="7" max="7" width="28.44140625" bestFit="1" customWidth="1"/>
    <col min="8" max="8" width="22.21875" bestFit="1" customWidth="1"/>
  </cols>
  <sheetData>
    <row r="1" spans="5:8" ht="15" customHeight="1" x14ac:dyDescent="0.3"/>
    <row r="2" spans="5:8" ht="15" customHeight="1" x14ac:dyDescent="0.3"/>
    <row r="3" spans="5:8" ht="15" customHeight="1" x14ac:dyDescent="0.3"/>
    <row r="4" spans="5:8" ht="15" customHeight="1" x14ac:dyDescent="0.3"/>
    <row r="7" spans="5:8" x14ac:dyDescent="0.3">
      <c r="F7" s="12" t="s">
        <v>475</v>
      </c>
    </row>
    <row r="8" spans="5:8" x14ac:dyDescent="0.3">
      <c r="E8" s="12" t="s">
        <v>437</v>
      </c>
      <c r="F8" t="s">
        <v>476</v>
      </c>
      <c r="G8" t="s">
        <v>387</v>
      </c>
      <c r="H8" t="s">
        <v>477</v>
      </c>
    </row>
    <row r="9" spans="5:8" x14ac:dyDescent="0.3">
      <c r="E9" t="s">
        <v>443</v>
      </c>
      <c r="F9" s="9">
        <v>2.5999999999999998E-4</v>
      </c>
      <c r="G9" s="4">
        <v>307.69230769230774</v>
      </c>
      <c r="H9" s="14">
        <v>0.08</v>
      </c>
    </row>
    <row r="10" spans="5:8" x14ac:dyDescent="0.3">
      <c r="E10" t="s">
        <v>438</v>
      </c>
      <c r="F10" s="9">
        <v>1.0220613538399393E-2</v>
      </c>
      <c r="G10" s="4">
        <v>149.98996607552243</v>
      </c>
      <c r="H10" s="14">
        <v>1.1958361534093613</v>
      </c>
    </row>
    <row r="11" spans="5:8" x14ac:dyDescent="0.3">
      <c r="E11" t="s">
        <v>449</v>
      </c>
      <c r="F11" s="9">
        <v>1.180981308411215E-2</v>
      </c>
      <c r="G11" s="4">
        <v>152.7399456521739</v>
      </c>
      <c r="H11" s="14">
        <v>1.5078</v>
      </c>
    </row>
    <row r="12" spans="5:8" x14ac:dyDescent="0.3">
      <c r="E12" t="s">
        <v>382</v>
      </c>
      <c r="F12" s="9">
        <v>1.0184211363090825E-2</v>
      </c>
      <c r="G12" s="4">
        <v>151.66028548070452</v>
      </c>
      <c r="H12" s="14">
        <v>1.1971696810149492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A3943-7A60-4E3C-B661-F4E11DDD96A6}">
  <dimension ref="A1:R102"/>
  <sheetViews>
    <sheetView tabSelected="1" workbookViewId="0">
      <selection activeCell="M9" sqref="M9"/>
    </sheetView>
  </sheetViews>
  <sheetFormatPr defaultRowHeight="14.4" x14ac:dyDescent="0.3"/>
  <cols>
    <col min="2" max="2" width="9.33203125" bestFit="1" customWidth="1"/>
    <col min="3" max="3" width="9.33203125" customWidth="1"/>
    <col min="4" max="4" width="14" bestFit="1" customWidth="1"/>
    <col min="5" max="5" width="14.5546875" customWidth="1"/>
    <col min="6" max="6" width="9.88671875" customWidth="1"/>
    <col min="7" max="7" width="21.6640625" customWidth="1"/>
    <col min="8" max="8" width="15.109375" customWidth="1"/>
    <col min="9" max="9" width="11" customWidth="1"/>
    <col min="10" max="10" width="12.109375" customWidth="1"/>
    <col min="11" max="11" width="10.33203125" customWidth="1"/>
    <col min="12" max="12" width="9.77734375" customWidth="1"/>
    <col min="13" max="13" width="7.88671875" customWidth="1"/>
    <col min="14" max="14" width="11.88671875" customWidth="1"/>
    <col min="15" max="15" width="11.33203125" customWidth="1"/>
    <col min="16" max="16" width="22.6640625" customWidth="1"/>
    <col min="17" max="17" width="21.109375" customWidth="1"/>
  </cols>
  <sheetData>
    <row r="1" spans="1:18" x14ac:dyDescent="0.3">
      <c r="A1" s="1" t="s">
        <v>383</v>
      </c>
      <c r="B1" s="1" t="s">
        <v>437</v>
      </c>
      <c r="C1" s="1" t="s">
        <v>293</v>
      </c>
      <c r="D1" s="1" t="s">
        <v>0</v>
      </c>
      <c r="E1" s="1" t="s">
        <v>385</v>
      </c>
      <c r="F1" s="1" t="s">
        <v>384</v>
      </c>
      <c r="G1" s="1" t="s">
        <v>294</v>
      </c>
      <c r="H1" s="1" t="s">
        <v>11</v>
      </c>
      <c r="I1" s="1" t="s">
        <v>2</v>
      </c>
      <c r="J1" s="1" t="s">
        <v>3</v>
      </c>
      <c r="K1" s="1" t="s">
        <v>4</v>
      </c>
      <c r="L1" s="1" t="s">
        <v>5</v>
      </c>
      <c r="M1" s="1" t="s">
        <v>6</v>
      </c>
      <c r="N1" s="1" t="s">
        <v>7</v>
      </c>
      <c r="O1" s="1" t="s">
        <v>8</v>
      </c>
      <c r="P1" s="1" t="s">
        <v>9</v>
      </c>
      <c r="Q1" s="1" t="s">
        <v>10</v>
      </c>
      <c r="R1" s="1" t="s">
        <v>445</v>
      </c>
    </row>
    <row r="2" spans="1:18" x14ac:dyDescent="0.3">
      <c r="A2">
        <v>1</v>
      </c>
      <c r="B2" t="s">
        <v>438</v>
      </c>
      <c r="C2" t="str">
        <f>+Northey2013!A3</f>
        <v>Australia</v>
      </c>
      <c r="D2" t="str">
        <f>+Northey2013!B3</f>
        <v>Cadia-Ridgeway</v>
      </c>
      <c r="E2" t="str">
        <f>+Northey2013!D3</f>
        <v>Porphyry</v>
      </c>
      <c r="F2" t="str">
        <f>VLOOKUP(+Northey2013!F3,Northey2013!$A$39:$B$41,2,0)</f>
        <v>Combined</v>
      </c>
      <c r="G2" t="str">
        <f>+Northey2013!E3</f>
        <v>Au–Cu</v>
      </c>
      <c r="H2" s="9">
        <f>+Northey2013!I3/100</f>
        <v>3.3E-3</v>
      </c>
      <c r="I2">
        <v>1</v>
      </c>
      <c r="J2">
        <v>49</v>
      </c>
      <c r="K2" t="s">
        <v>295</v>
      </c>
      <c r="L2" t="s">
        <v>296</v>
      </c>
      <c r="N2" t="s">
        <v>297</v>
      </c>
      <c r="O2">
        <v>1</v>
      </c>
      <c r="P2" t="str">
        <f>+VLOOKUP(O2,References!$A$2:$F$29,2,0)</f>
        <v>Northey et al. (2013)</v>
      </c>
      <c r="Q2" s="13">
        <f>+VLOOKUP(K2&amp;L2,Unit_Normalization!$A$2:$D$24,4,0)*J2</f>
        <v>49</v>
      </c>
      <c r="R2" s="14">
        <f>+Table1[[#This Row],[TotalWater_m3_tonCu]]*Table1[[#This Row],[Grade ore Cu%]]</f>
        <v>0.16170000000000001</v>
      </c>
    </row>
    <row r="3" spans="1:18" x14ac:dyDescent="0.3">
      <c r="A3">
        <v>2</v>
      </c>
      <c r="B3" t="s">
        <v>438</v>
      </c>
      <c r="C3" t="str">
        <f>+Northey2013!A4</f>
        <v>Australia</v>
      </c>
      <c r="D3" t="str">
        <f>+Northey2013!B4</f>
        <v>Ernest Henry</v>
      </c>
      <c r="E3" t="str">
        <f>+Northey2013!D4</f>
        <v>IOCG</v>
      </c>
      <c r="F3" t="str">
        <f>VLOOKUP(+Northey2013!F4,Northey2013!$A$39:$B$41,2,0)</f>
        <v>Open Pit</v>
      </c>
      <c r="G3" t="str">
        <f>+Northey2013!E4</f>
        <v>Cu–Au</v>
      </c>
      <c r="H3" s="9">
        <f>+Northey2013!I4/100</f>
        <v>9.7999999999999997E-3</v>
      </c>
      <c r="I3">
        <v>1</v>
      </c>
      <c r="J3">
        <v>42.3</v>
      </c>
      <c r="K3" t="s">
        <v>295</v>
      </c>
      <c r="L3" t="s">
        <v>296</v>
      </c>
      <c r="N3" t="s">
        <v>297</v>
      </c>
      <c r="O3">
        <v>1</v>
      </c>
      <c r="P3" t="str">
        <f>+VLOOKUP(O3,References!$A$2:$F$29,2,0)</f>
        <v>Northey et al. (2013)</v>
      </c>
      <c r="Q3" s="13">
        <f>+VLOOKUP(K3&amp;L3,Unit_Normalization!$A$2:$D$24,4,0)*J3</f>
        <v>42.3</v>
      </c>
      <c r="R3" s="14">
        <f>+Table1[[#This Row],[TotalWater_m3_tonCu]]*Table1[[#This Row],[Grade ore Cu%]]</f>
        <v>0.41453999999999996</v>
      </c>
    </row>
    <row r="4" spans="1:18" x14ac:dyDescent="0.3">
      <c r="A4">
        <v>3</v>
      </c>
      <c r="B4" t="s">
        <v>438</v>
      </c>
      <c r="C4" t="str">
        <f>+Northey2013!A5</f>
        <v>Australia</v>
      </c>
      <c r="D4" t="str">
        <f>+Northey2013!B5</f>
        <v>Golden Grove</v>
      </c>
      <c r="E4" t="str">
        <f>+Northey2013!D5</f>
        <v>VMS</v>
      </c>
      <c r="F4" t="str">
        <f>VLOOKUP(+Northey2013!F5,Northey2013!$A$39:$B$41,2,0)</f>
        <v>Underground</v>
      </c>
      <c r="G4" t="str">
        <f>+Northey2013!E5</f>
        <v>Ag–Pb–Zn–Cu</v>
      </c>
      <c r="H4" s="9">
        <f>+Northey2013!I5/100</f>
        <v>1.8500000000000003E-2</v>
      </c>
      <c r="I4">
        <v>1</v>
      </c>
      <c r="J4">
        <v>33</v>
      </c>
      <c r="K4" t="s">
        <v>295</v>
      </c>
      <c r="L4" t="s">
        <v>296</v>
      </c>
      <c r="N4" t="s">
        <v>297</v>
      </c>
      <c r="O4">
        <v>1</v>
      </c>
      <c r="P4" t="str">
        <f>+VLOOKUP(O4,References!$A$2:$F$29,2,0)</f>
        <v>Northey et al. (2013)</v>
      </c>
      <c r="Q4" s="13">
        <f>+VLOOKUP(K4&amp;L4,Unit_Normalization!$A$2:$D$24,4,0)*J4</f>
        <v>33</v>
      </c>
      <c r="R4" s="14">
        <f>+Table1[[#This Row],[TotalWater_m3_tonCu]]*Table1[[#This Row],[Grade ore Cu%]]</f>
        <v>0.61050000000000004</v>
      </c>
    </row>
    <row r="5" spans="1:18" x14ac:dyDescent="0.3">
      <c r="A5">
        <v>4</v>
      </c>
      <c r="B5" t="s">
        <v>438</v>
      </c>
      <c r="C5" t="str">
        <f>+Northey2013!A6</f>
        <v>Australia</v>
      </c>
      <c r="D5" t="str">
        <f>+Northey2013!B6</f>
        <v>Mount Isa</v>
      </c>
      <c r="E5" t="str">
        <f>+Northey2013!D6</f>
        <v>SedEx</v>
      </c>
      <c r="F5" t="str">
        <f>VLOOKUP(+Northey2013!F6,Northey2013!$A$39:$B$41,2,0)</f>
        <v>Underground</v>
      </c>
      <c r="G5" t="str">
        <f>+Northey2013!E6</f>
        <v>Cu</v>
      </c>
      <c r="H5" s="9">
        <f>+Northey2013!I6/100</f>
        <v>3.2099999999999997E-2</v>
      </c>
      <c r="I5">
        <v>1</v>
      </c>
      <c r="J5">
        <v>19.5</v>
      </c>
      <c r="K5" t="s">
        <v>295</v>
      </c>
      <c r="L5" t="s">
        <v>296</v>
      </c>
      <c r="N5" t="s">
        <v>297</v>
      </c>
      <c r="O5">
        <v>1</v>
      </c>
      <c r="P5" t="str">
        <f>+VLOOKUP(O5,References!$A$2:$F$29,2,0)</f>
        <v>Northey et al. (2013)</v>
      </c>
      <c r="Q5" s="13">
        <f>+VLOOKUP(K5&amp;L5,Unit_Normalization!$A$2:$D$24,4,0)*J5</f>
        <v>19.5</v>
      </c>
      <c r="R5" s="14">
        <f>+Table1[[#This Row],[TotalWater_m3_tonCu]]*Table1[[#This Row],[Grade ore Cu%]]</f>
        <v>0.6259499999999999</v>
      </c>
    </row>
    <row r="6" spans="1:18" x14ac:dyDescent="0.3">
      <c r="A6">
        <v>5</v>
      </c>
      <c r="B6" t="s">
        <v>438</v>
      </c>
      <c r="C6" t="str">
        <f>+Northey2013!A7</f>
        <v>Australia</v>
      </c>
      <c r="D6" t="str">
        <f>+Northey2013!B7</f>
        <v>Northparkes</v>
      </c>
      <c r="E6" t="str">
        <f>+Northey2013!D7</f>
        <v>Porphyry</v>
      </c>
      <c r="F6" t="str">
        <f>VLOOKUP(+Northey2013!F7,Northey2013!$A$39:$B$41,2,0)</f>
        <v>Combined</v>
      </c>
      <c r="G6" t="str">
        <f>+Northey2013!E7</f>
        <v>Cu–Au</v>
      </c>
      <c r="H6" s="9">
        <f>+Northey2013!I7/100</f>
        <v>7.8000000000000005E-3</v>
      </c>
      <c r="I6">
        <v>1</v>
      </c>
      <c r="J6">
        <v>74</v>
      </c>
      <c r="K6" t="s">
        <v>295</v>
      </c>
      <c r="L6" t="s">
        <v>296</v>
      </c>
      <c r="N6" t="s">
        <v>297</v>
      </c>
      <c r="O6">
        <v>1</v>
      </c>
      <c r="P6" t="str">
        <f>+VLOOKUP(O6,References!$A$2:$F$29,2,0)</f>
        <v>Northey et al. (2013)</v>
      </c>
      <c r="Q6" s="13">
        <f>+VLOOKUP(K6&amp;L6,Unit_Normalization!$A$2:$D$24,4,0)*J6</f>
        <v>74</v>
      </c>
      <c r="R6" s="14">
        <f>+Table1[[#This Row],[TotalWater_m3_tonCu]]*Table1[[#This Row],[Grade ore Cu%]]</f>
        <v>0.57720000000000005</v>
      </c>
    </row>
    <row r="7" spans="1:18" x14ac:dyDescent="0.3">
      <c r="A7">
        <v>6</v>
      </c>
      <c r="B7" t="s">
        <v>438</v>
      </c>
      <c r="C7" t="str">
        <f>+Northey2013!A8</f>
        <v>Australia</v>
      </c>
      <c r="D7" t="str">
        <f>+Northey2013!B8</f>
        <v>Olympic Dam</v>
      </c>
      <c r="E7" t="str">
        <f>+Northey2013!D8</f>
        <v>IOCG</v>
      </c>
      <c r="F7" t="str">
        <f>VLOOKUP(+Northey2013!F8,Northey2013!$A$39:$B$41,2,0)</f>
        <v>Underground</v>
      </c>
      <c r="G7" t="str">
        <f>+Northey2013!E8</f>
        <v>Cu–Au–Ag–U</v>
      </c>
      <c r="H7" s="9">
        <f>+Northey2013!I8/100</f>
        <v>2.46E-2</v>
      </c>
      <c r="I7">
        <v>1</v>
      </c>
      <c r="J7">
        <v>46.6</v>
      </c>
      <c r="K7" t="s">
        <v>295</v>
      </c>
      <c r="L7" t="s">
        <v>296</v>
      </c>
      <c r="N7" t="s">
        <v>297</v>
      </c>
      <c r="O7">
        <v>1</v>
      </c>
      <c r="P7" t="str">
        <f>+VLOOKUP(O7,References!$A$2:$F$29,2,0)</f>
        <v>Northey et al. (2013)</v>
      </c>
      <c r="Q7" s="13">
        <f>+VLOOKUP(K7&amp;L7,Unit_Normalization!$A$2:$D$24,4,0)*J7</f>
        <v>46.6</v>
      </c>
      <c r="R7" s="14">
        <f>+Table1[[#This Row],[TotalWater_m3_tonCu]]*Table1[[#This Row],[Grade ore Cu%]]</f>
        <v>1.14636</v>
      </c>
    </row>
    <row r="8" spans="1:18" x14ac:dyDescent="0.3">
      <c r="A8">
        <v>7</v>
      </c>
      <c r="B8" t="s">
        <v>438</v>
      </c>
      <c r="C8" t="str">
        <f>+Northey2013!A9</f>
        <v>Australia</v>
      </c>
      <c r="D8" t="str">
        <f>+Northey2013!B9</f>
        <v>Prominent Hill</v>
      </c>
      <c r="E8" t="str">
        <f>+Northey2013!D9</f>
        <v>IOCG</v>
      </c>
      <c r="F8" t="str">
        <f>VLOOKUP(+Northey2013!F9,Northey2013!$A$39:$B$41,2,0)</f>
        <v>Open Pit</v>
      </c>
      <c r="G8" t="str">
        <f>+Northey2013!E9</f>
        <v>Cu–Au–Ag</v>
      </c>
      <c r="H8" s="9">
        <f>+Northey2013!I9/100</f>
        <v>1.54E-2</v>
      </c>
      <c r="I8">
        <v>1</v>
      </c>
      <c r="J8">
        <v>39.799999999999997</v>
      </c>
      <c r="K8" t="s">
        <v>295</v>
      </c>
      <c r="L8" t="s">
        <v>296</v>
      </c>
      <c r="N8" t="s">
        <v>297</v>
      </c>
      <c r="O8">
        <v>1</v>
      </c>
      <c r="P8" t="str">
        <f>+VLOOKUP(O8,References!$A$2:$F$29,2,0)</f>
        <v>Northey et al. (2013)</v>
      </c>
      <c r="Q8" s="13">
        <f>+VLOOKUP(K8&amp;L8,Unit_Normalization!$A$2:$D$24,4,0)*J8</f>
        <v>39.799999999999997</v>
      </c>
      <c r="R8" s="14">
        <f>+Table1[[#This Row],[TotalWater_m3_tonCu]]*Table1[[#This Row],[Grade ore Cu%]]</f>
        <v>0.61292000000000002</v>
      </c>
    </row>
    <row r="9" spans="1:18" x14ac:dyDescent="0.3">
      <c r="A9">
        <v>8</v>
      </c>
      <c r="B9" t="s">
        <v>438</v>
      </c>
      <c r="C9" t="str">
        <f>+Northey2013!A10</f>
        <v>Australia</v>
      </c>
      <c r="D9" t="str">
        <f>+Northey2013!B10</f>
        <v>Rosebery</v>
      </c>
      <c r="E9" t="str">
        <f>+Northey2013!D10</f>
        <v>VMS</v>
      </c>
      <c r="F9" t="str">
        <f>VLOOKUP(+Northey2013!F10,Northey2013!$A$39:$B$41,2,0)</f>
        <v>Underground</v>
      </c>
      <c r="G9" t="str">
        <f>+Northey2013!E10</f>
        <v>Ag–Pb–Zn–Cu–Au</v>
      </c>
      <c r="H9" s="9">
        <f>+Northey2013!I10/100</f>
        <v>3.5999999999999999E-3</v>
      </c>
      <c r="I9">
        <v>1</v>
      </c>
      <c r="J9">
        <v>1046.9000000000001</v>
      </c>
      <c r="K9" t="s">
        <v>295</v>
      </c>
      <c r="L9" t="s">
        <v>296</v>
      </c>
      <c r="N9" t="s">
        <v>297</v>
      </c>
      <c r="O9">
        <v>1</v>
      </c>
      <c r="P9" t="str">
        <f>+VLOOKUP(O9,References!$A$2:$F$29,2,0)</f>
        <v>Northey et al. (2013)</v>
      </c>
      <c r="Q9" s="13">
        <f>+VLOOKUP(K9&amp;L9,Unit_Normalization!$A$2:$D$24,4,0)*J9</f>
        <v>1046.9000000000001</v>
      </c>
      <c r="R9" s="14">
        <f>+Table1[[#This Row],[TotalWater_m3_tonCu]]*Table1[[#This Row],[Grade ore Cu%]]</f>
        <v>3.7688400000000004</v>
      </c>
    </row>
    <row r="10" spans="1:18" x14ac:dyDescent="0.3">
      <c r="A10">
        <v>9</v>
      </c>
      <c r="B10" t="s">
        <v>438</v>
      </c>
      <c r="C10" t="str">
        <f>+Northey2013!A11</f>
        <v>Australia</v>
      </c>
      <c r="D10" t="str">
        <f>+Northey2013!B11</f>
        <v>Telfer</v>
      </c>
      <c r="E10" t="str">
        <f>+Northey2013!D11</f>
        <v>OGC</v>
      </c>
      <c r="F10" t="str">
        <f>VLOOKUP(+Northey2013!F11,Northey2013!$A$39:$B$41,2,0)</f>
        <v>Combined</v>
      </c>
      <c r="G10" t="str">
        <f>+Northey2013!E11</f>
        <v>Au–Cu</v>
      </c>
      <c r="H10" s="9">
        <f>+Northey2013!I11/100</f>
        <v>2.3999999999999998E-3</v>
      </c>
      <c r="I10">
        <v>1</v>
      </c>
      <c r="J10">
        <v>161.1</v>
      </c>
      <c r="K10" t="s">
        <v>295</v>
      </c>
      <c r="L10" t="s">
        <v>296</v>
      </c>
      <c r="N10" t="s">
        <v>297</v>
      </c>
      <c r="O10">
        <v>1</v>
      </c>
      <c r="P10" t="str">
        <f>+VLOOKUP(O10,References!$A$2:$F$29,2,0)</f>
        <v>Northey et al. (2013)</v>
      </c>
      <c r="Q10" s="13">
        <f>+VLOOKUP(K10&amp;L10,Unit_Normalization!$A$2:$D$24,4,0)*J10</f>
        <v>161.1</v>
      </c>
      <c r="R10" s="14">
        <f>+Table1[[#This Row],[TotalWater_m3_tonCu]]*Table1[[#This Row],[Grade ore Cu%]]</f>
        <v>0.38663999999999993</v>
      </c>
    </row>
    <row r="11" spans="1:18" x14ac:dyDescent="0.3">
      <c r="A11">
        <v>10</v>
      </c>
      <c r="B11" t="s">
        <v>438</v>
      </c>
      <c r="C11" t="str">
        <f>+Northey2013!A12</f>
        <v>Argentina</v>
      </c>
      <c r="D11" t="str">
        <f>+Northey2013!B12</f>
        <v>Alumbrera</v>
      </c>
      <c r="E11" t="str">
        <f>+Northey2013!D12</f>
        <v>Porphyry</v>
      </c>
      <c r="F11" t="str">
        <f>VLOOKUP(+Northey2013!F12,Northey2013!$A$39:$B$41,2,0)</f>
        <v>Open Pit</v>
      </c>
      <c r="G11" t="str">
        <f>+Northey2013!E12</f>
        <v>Cu–Au</v>
      </c>
      <c r="H11" s="9">
        <f>+Northey2013!I12/100</f>
        <v>5.5000000000000005E-3</v>
      </c>
      <c r="I11">
        <v>1</v>
      </c>
      <c r="J11">
        <v>91.3</v>
      </c>
      <c r="K11" t="s">
        <v>295</v>
      </c>
      <c r="L11" t="s">
        <v>296</v>
      </c>
      <c r="N11" t="s">
        <v>297</v>
      </c>
      <c r="O11">
        <v>1</v>
      </c>
      <c r="P11" t="str">
        <f>+VLOOKUP(O11,References!$A$2:$F$29,2,0)</f>
        <v>Northey et al. (2013)</v>
      </c>
      <c r="Q11" s="13">
        <f>+VLOOKUP(K11&amp;L11,Unit_Normalization!$A$2:$D$24,4,0)*J11</f>
        <v>91.3</v>
      </c>
      <c r="R11" s="14">
        <f>+Table1[[#This Row],[TotalWater_m3_tonCu]]*Table1[[#This Row],[Grade ore Cu%]]</f>
        <v>0.50214999999999999</v>
      </c>
    </row>
    <row r="12" spans="1:18" x14ac:dyDescent="0.3">
      <c r="A12">
        <v>11</v>
      </c>
      <c r="B12" t="s">
        <v>438</v>
      </c>
      <c r="C12" t="str">
        <f>+Northey2013!A13</f>
        <v>Canada</v>
      </c>
      <c r="D12" t="str">
        <f>+Northey2013!B13</f>
        <v>Highland Valley</v>
      </c>
      <c r="E12" t="str">
        <f>+Northey2013!D13</f>
        <v>Porphyry</v>
      </c>
      <c r="F12" t="str">
        <f>VLOOKUP(+Northey2013!F13,Northey2013!$A$39:$B$41,2,0)</f>
        <v>Underground</v>
      </c>
      <c r="G12" t="str">
        <f>+Northey2013!E13</f>
        <v>Cu–Mo</v>
      </c>
      <c r="H12" s="9">
        <f>+Northey2013!I13/100</f>
        <v>4.0000000000000001E-3</v>
      </c>
      <c r="I12">
        <v>1</v>
      </c>
      <c r="J12">
        <v>135.4</v>
      </c>
      <c r="K12" t="s">
        <v>295</v>
      </c>
      <c r="L12" t="s">
        <v>296</v>
      </c>
      <c r="N12" t="s">
        <v>297</v>
      </c>
      <c r="O12">
        <v>1</v>
      </c>
      <c r="P12" t="str">
        <f>+VLOOKUP(O12,References!$A$2:$F$29,2,0)</f>
        <v>Northey et al. (2013)</v>
      </c>
      <c r="Q12" s="13">
        <f>+VLOOKUP(K12&amp;L12,Unit_Normalization!$A$2:$D$24,4,0)*J12</f>
        <v>135.4</v>
      </c>
      <c r="R12" s="14">
        <f>+Table1[[#This Row],[TotalWater_m3_tonCu]]*Table1[[#This Row],[Grade ore Cu%]]</f>
        <v>0.54160000000000008</v>
      </c>
    </row>
    <row r="13" spans="1:18" x14ac:dyDescent="0.3">
      <c r="A13">
        <v>12</v>
      </c>
      <c r="B13" t="s">
        <v>438</v>
      </c>
      <c r="C13" t="str">
        <f>+Northey2013!A14</f>
        <v>Canada</v>
      </c>
      <c r="D13" t="str">
        <f>+Northey2013!B14</f>
        <v>Kidd Creek</v>
      </c>
      <c r="E13" t="str">
        <f>+Northey2013!D14</f>
        <v>VMS</v>
      </c>
      <c r="F13" t="str">
        <f>VLOOKUP(+Northey2013!F14,Northey2013!$A$39:$B$41,2,0)</f>
        <v>Open Pit</v>
      </c>
      <c r="G13" t="str">
        <f>+Northey2013!E14</f>
        <v>Cu–Zn</v>
      </c>
      <c r="H13" s="9">
        <f>+Northey2013!I14/100</f>
        <v>2.07E-2</v>
      </c>
      <c r="I13">
        <v>1</v>
      </c>
      <c r="J13">
        <v>76.7</v>
      </c>
      <c r="K13" t="s">
        <v>295</v>
      </c>
      <c r="L13" t="s">
        <v>296</v>
      </c>
      <c r="N13" t="s">
        <v>297</v>
      </c>
      <c r="O13">
        <v>1</v>
      </c>
      <c r="P13" t="str">
        <f>+VLOOKUP(O13,References!$A$2:$F$29,2,0)</f>
        <v>Northey et al. (2013)</v>
      </c>
      <c r="Q13" s="13">
        <f>+VLOOKUP(K13&amp;L13,Unit_Normalization!$A$2:$D$24,4,0)*J13</f>
        <v>76.7</v>
      </c>
      <c r="R13" s="14">
        <f>+Table1[[#This Row],[TotalWater_m3_tonCu]]*Table1[[#This Row],[Grade ore Cu%]]</f>
        <v>1.58769</v>
      </c>
    </row>
    <row r="14" spans="1:18" x14ac:dyDescent="0.3">
      <c r="A14">
        <v>13</v>
      </c>
      <c r="B14" t="s">
        <v>438</v>
      </c>
      <c r="C14" t="str">
        <f>+Northey2013!A15</f>
        <v>Chile</v>
      </c>
      <c r="D14" t="str">
        <f>+Northey2013!B15</f>
        <v>Andina</v>
      </c>
      <c r="E14" t="str">
        <f>+Northey2013!D15</f>
        <v>Breccia-Porphyry</v>
      </c>
      <c r="F14" t="str">
        <f>VLOOKUP(+Northey2013!F15,Northey2013!$A$39:$B$41,2,0)</f>
        <v>Combined</v>
      </c>
      <c r="G14" t="str">
        <f>+Northey2013!E15</f>
        <v>Cu–Mo</v>
      </c>
      <c r="H14" s="9">
        <f>+Northey2013!I15/100</f>
        <v>1.0500000000000001E-2</v>
      </c>
      <c r="I14">
        <v>1</v>
      </c>
      <c r="J14">
        <v>99.4</v>
      </c>
      <c r="K14" t="s">
        <v>295</v>
      </c>
      <c r="L14" t="s">
        <v>296</v>
      </c>
      <c r="N14" t="s">
        <v>297</v>
      </c>
      <c r="O14">
        <v>1</v>
      </c>
      <c r="P14" t="str">
        <f>+VLOOKUP(O14,References!$A$2:$F$29,2,0)</f>
        <v>Northey et al. (2013)</v>
      </c>
      <c r="Q14" s="13">
        <f>+VLOOKUP(K14&amp;L14,Unit_Normalization!$A$2:$D$24,4,0)*J14</f>
        <v>99.4</v>
      </c>
      <c r="R14" s="14">
        <f>+Table1[[#This Row],[TotalWater_m3_tonCu]]*Table1[[#This Row],[Grade ore Cu%]]</f>
        <v>1.0437000000000001</v>
      </c>
    </row>
    <row r="15" spans="1:18" x14ac:dyDescent="0.3">
      <c r="A15">
        <v>14</v>
      </c>
      <c r="B15" t="s">
        <v>438</v>
      </c>
      <c r="C15" t="str">
        <f>+Northey2013!A16</f>
        <v>Chile</v>
      </c>
      <c r="D15" t="str">
        <f>+Northey2013!B16</f>
        <v>Codelco Norte</v>
      </c>
      <c r="E15" t="str">
        <f>+Northey2013!D16</f>
        <v>Porphyry</v>
      </c>
      <c r="F15" t="str">
        <f>VLOOKUP(+Northey2013!F16,Northey2013!$A$39:$B$41,2,0)</f>
        <v>Open Pit</v>
      </c>
      <c r="G15" t="str">
        <f>+Northey2013!E16</f>
        <v>Cu–Mo</v>
      </c>
      <c r="H15" s="9">
        <f>+Northey2013!I16/100</f>
        <v>8.3000000000000001E-3</v>
      </c>
      <c r="I15">
        <v>1</v>
      </c>
      <c r="J15">
        <v>53.3</v>
      </c>
      <c r="K15" t="s">
        <v>295</v>
      </c>
      <c r="L15" t="s">
        <v>296</v>
      </c>
      <c r="N15" t="s">
        <v>297</v>
      </c>
      <c r="O15">
        <v>1</v>
      </c>
      <c r="P15" t="str">
        <f>+VLOOKUP(O15,References!$A$2:$F$29,2,0)</f>
        <v>Northey et al. (2013)</v>
      </c>
      <c r="Q15" s="13">
        <f>+VLOOKUP(K15&amp;L15,Unit_Normalization!$A$2:$D$24,4,0)*J15</f>
        <v>53.3</v>
      </c>
      <c r="R15" s="14">
        <f>+Table1[[#This Row],[TotalWater_m3_tonCu]]*Table1[[#This Row],[Grade ore Cu%]]</f>
        <v>0.44239000000000001</v>
      </c>
    </row>
    <row r="16" spans="1:18" x14ac:dyDescent="0.3">
      <c r="A16">
        <v>15</v>
      </c>
      <c r="B16" t="s">
        <v>438</v>
      </c>
      <c r="C16" t="str">
        <f>+Northey2013!A17</f>
        <v>Chile</v>
      </c>
      <c r="D16" t="str">
        <f>+Northey2013!B17</f>
        <v>Collahuasi</v>
      </c>
      <c r="E16" t="str">
        <f>+Northey2013!D17</f>
        <v>Porphyry</v>
      </c>
      <c r="F16" t="str">
        <f>VLOOKUP(+Northey2013!F17,Northey2013!$A$39:$B$41,2,0)</f>
        <v>Open Pit</v>
      </c>
      <c r="G16" t="str">
        <f>+Northey2013!E17</f>
        <v>Cu–Mo–Au–Ag</v>
      </c>
      <c r="H16" s="9">
        <f>+Northey2013!I17/100</f>
        <v>1.1200000000000002E-2</v>
      </c>
      <c r="I16">
        <v>1</v>
      </c>
      <c r="J16">
        <v>31.9</v>
      </c>
      <c r="K16" t="s">
        <v>295</v>
      </c>
      <c r="L16" t="s">
        <v>296</v>
      </c>
      <c r="N16" t="s">
        <v>297</v>
      </c>
      <c r="O16">
        <v>1</v>
      </c>
      <c r="P16" t="str">
        <f>+VLOOKUP(O16,References!$A$2:$F$29,2,0)</f>
        <v>Northey et al. (2013)</v>
      </c>
      <c r="Q16" s="13">
        <f>+VLOOKUP(K16&amp;L16,Unit_Normalization!$A$2:$D$24,4,0)*J16</f>
        <v>31.9</v>
      </c>
      <c r="R16" s="14">
        <f>+Table1[[#This Row],[TotalWater_m3_tonCu]]*Table1[[#This Row],[Grade ore Cu%]]</f>
        <v>0.35728000000000004</v>
      </c>
    </row>
    <row r="17" spans="1:18" x14ac:dyDescent="0.3">
      <c r="A17">
        <v>16</v>
      </c>
      <c r="B17" t="s">
        <v>438</v>
      </c>
      <c r="C17" t="str">
        <f>+Northey2013!A18</f>
        <v>Chile</v>
      </c>
      <c r="D17" t="str">
        <f>+Northey2013!B18</f>
        <v>El Soldado</v>
      </c>
      <c r="E17" t="str">
        <f>+Northey2013!D18</f>
        <v>IOCG</v>
      </c>
      <c r="F17" t="str">
        <f>VLOOKUP(+Northey2013!F18,Northey2013!$A$39:$B$41,2,0)</f>
        <v>Combined</v>
      </c>
      <c r="G17" t="str">
        <f>+Northey2013!E18</f>
        <v>Cu</v>
      </c>
      <c r="H17" s="9">
        <f>+Northey2013!I18/100</f>
        <v>0.01</v>
      </c>
      <c r="I17">
        <v>1</v>
      </c>
      <c r="J17">
        <v>48.2</v>
      </c>
      <c r="K17" t="s">
        <v>295</v>
      </c>
      <c r="L17" t="s">
        <v>296</v>
      </c>
      <c r="N17" t="s">
        <v>297</v>
      </c>
      <c r="O17">
        <v>1</v>
      </c>
      <c r="P17" t="str">
        <f>+VLOOKUP(O17,References!$A$2:$F$29,2,0)</f>
        <v>Northey et al. (2013)</v>
      </c>
      <c r="Q17" s="13">
        <f>+VLOOKUP(K17&amp;L17,Unit_Normalization!$A$2:$D$24,4,0)*J17</f>
        <v>48.2</v>
      </c>
      <c r="R17" s="14">
        <f>+Table1[[#This Row],[TotalWater_m3_tonCu]]*Table1[[#This Row],[Grade ore Cu%]]</f>
        <v>0.48200000000000004</v>
      </c>
    </row>
    <row r="18" spans="1:18" x14ac:dyDescent="0.3">
      <c r="A18">
        <v>17</v>
      </c>
      <c r="B18" t="s">
        <v>438</v>
      </c>
      <c r="C18" t="str">
        <f>+Northey2013!A19</f>
        <v>Chile</v>
      </c>
      <c r="D18" t="str">
        <f>+Northey2013!B19</f>
        <v>El Teniente</v>
      </c>
      <c r="E18" t="str">
        <f>+Northey2013!D19</f>
        <v>Breccia-Porphyry</v>
      </c>
      <c r="F18" t="str">
        <f>VLOOKUP(+Northey2013!F19,Northey2013!$A$39:$B$41,2,0)</f>
        <v>Underground</v>
      </c>
      <c r="G18" t="str">
        <f>+Northey2013!E19</f>
        <v>Cu–Mo</v>
      </c>
      <c r="H18" s="9">
        <f>+Northey2013!I19/100</f>
        <v>0.01</v>
      </c>
      <c r="I18">
        <v>1</v>
      </c>
      <c r="J18">
        <v>139.69999999999999</v>
      </c>
      <c r="K18" t="s">
        <v>295</v>
      </c>
      <c r="L18" t="s">
        <v>296</v>
      </c>
      <c r="N18" t="s">
        <v>297</v>
      </c>
      <c r="O18">
        <v>1</v>
      </c>
      <c r="P18" t="str">
        <f>+VLOOKUP(O18,References!$A$2:$F$29,2,0)</f>
        <v>Northey et al. (2013)</v>
      </c>
      <c r="Q18" s="13">
        <f>+VLOOKUP(K18&amp;L18,Unit_Normalization!$A$2:$D$24,4,0)*J18</f>
        <v>139.69999999999999</v>
      </c>
      <c r="R18" s="14">
        <f>+Table1[[#This Row],[TotalWater_m3_tonCu]]*Table1[[#This Row],[Grade ore Cu%]]</f>
        <v>1.397</v>
      </c>
    </row>
    <row r="19" spans="1:18" x14ac:dyDescent="0.3">
      <c r="A19">
        <v>18</v>
      </c>
      <c r="B19" t="s">
        <v>438</v>
      </c>
      <c r="C19" t="str">
        <f>+Northey2013!A20</f>
        <v>Chile</v>
      </c>
      <c r="D19" t="str">
        <f>+Northey2013!B20</f>
        <v>Escondida</v>
      </c>
      <c r="E19" t="str">
        <f>+Northey2013!D20</f>
        <v>Porphyry</v>
      </c>
      <c r="F19" t="str">
        <f>VLOOKUP(+Northey2013!F20,Northey2013!$A$39:$B$41,2,0)</f>
        <v>Open Pit</v>
      </c>
      <c r="G19" t="str">
        <f>+Northey2013!E20</f>
        <v>Cu–Au–Ag</v>
      </c>
      <c r="H19" s="9">
        <f>+Northey2013!I20/100</f>
        <v>1.2500000000000001E-2</v>
      </c>
      <c r="I19">
        <v>1</v>
      </c>
      <c r="J19">
        <v>52.5</v>
      </c>
      <c r="K19" t="s">
        <v>295</v>
      </c>
      <c r="L19" t="s">
        <v>296</v>
      </c>
      <c r="N19" t="s">
        <v>297</v>
      </c>
      <c r="O19">
        <v>1</v>
      </c>
      <c r="P19" t="str">
        <f>+VLOOKUP(O19,References!$A$2:$F$29,2,0)</f>
        <v>Northey et al. (2013)</v>
      </c>
      <c r="Q19" s="13">
        <f>+VLOOKUP(K19&amp;L19,Unit_Normalization!$A$2:$D$24,4,0)*J19</f>
        <v>52.5</v>
      </c>
      <c r="R19" s="14">
        <f>+Table1[[#This Row],[TotalWater_m3_tonCu]]*Table1[[#This Row],[Grade ore Cu%]]</f>
        <v>0.65625</v>
      </c>
    </row>
    <row r="20" spans="1:18" x14ac:dyDescent="0.3">
      <c r="A20">
        <v>19</v>
      </c>
      <c r="B20" t="s">
        <v>438</v>
      </c>
      <c r="C20" t="str">
        <f>+Northey2013!A21</f>
        <v>Chile</v>
      </c>
      <c r="D20" t="str">
        <f>+Northey2013!B21</f>
        <v>Lomas Bayas</v>
      </c>
      <c r="E20" t="str">
        <f>+Northey2013!D21</f>
        <v>Porphyry</v>
      </c>
      <c r="F20" t="str">
        <f>VLOOKUP(+Northey2013!F21,Northey2013!$A$39:$B$41,2,0)</f>
        <v>Open Pit</v>
      </c>
      <c r="G20" t="str">
        <f>+Northey2013!E21</f>
        <v>Cu</v>
      </c>
      <c r="H20" s="9">
        <f>+Northey2013!I21/100</f>
        <v>3.0999999999999999E-3</v>
      </c>
      <c r="I20">
        <v>1</v>
      </c>
      <c r="J20">
        <v>75.5</v>
      </c>
      <c r="K20" t="s">
        <v>295</v>
      </c>
      <c r="L20" t="s">
        <v>296</v>
      </c>
      <c r="N20" t="s">
        <v>297</v>
      </c>
      <c r="O20">
        <v>1</v>
      </c>
      <c r="P20" t="str">
        <f>+VLOOKUP(O20,References!$A$2:$F$29,2,0)</f>
        <v>Northey et al. (2013)</v>
      </c>
      <c r="Q20" s="13">
        <f>+VLOOKUP(K20&amp;L20,Unit_Normalization!$A$2:$D$24,4,0)*J20</f>
        <v>75.5</v>
      </c>
      <c r="R20" s="14">
        <f>+Table1[[#This Row],[TotalWater_m3_tonCu]]*Table1[[#This Row],[Grade ore Cu%]]</f>
        <v>0.23404999999999998</v>
      </c>
    </row>
    <row r="21" spans="1:18" x14ac:dyDescent="0.3">
      <c r="A21">
        <v>20</v>
      </c>
      <c r="B21" t="s">
        <v>438</v>
      </c>
      <c r="C21" t="str">
        <f>+Northey2013!A22</f>
        <v>Chile</v>
      </c>
      <c r="D21" t="str">
        <f>+Northey2013!B22</f>
        <v>Los Bronces</v>
      </c>
      <c r="E21" t="str">
        <f>+Northey2013!D22</f>
        <v>Breccia- Porphyry</v>
      </c>
      <c r="F21" t="str">
        <f>VLOOKUP(+Northey2013!F22,Northey2013!$A$39:$B$41,2,0)</f>
        <v>Open Pit</v>
      </c>
      <c r="G21" t="str">
        <f>+Northey2013!E22</f>
        <v>Cu–Mo</v>
      </c>
      <c r="H21" s="9">
        <f>+Northey2013!I22/100</f>
        <v>1.06E-2</v>
      </c>
      <c r="I21">
        <v>1</v>
      </c>
      <c r="J21">
        <v>80.7</v>
      </c>
      <c r="K21" t="s">
        <v>295</v>
      </c>
      <c r="L21" t="s">
        <v>296</v>
      </c>
      <c r="N21" t="s">
        <v>297</v>
      </c>
      <c r="O21">
        <v>1</v>
      </c>
      <c r="P21" t="str">
        <f>+VLOOKUP(O21,References!$A$2:$F$29,2,0)</f>
        <v>Northey et al. (2013)</v>
      </c>
      <c r="Q21" s="13">
        <f>+VLOOKUP(K21&amp;L21,Unit_Normalization!$A$2:$D$24,4,0)*J21</f>
        <v>80.7</v>
      </c>
      <c r="R21" s="14">
        <f>+Table1[[#This Row],[TotalWater_m3_tonCu]]*Table1[[#This Row],[Grade ore Cu%]]</f>
        <v>0.85542000000000007</v>
      </c>
    </row>
    <row r="22" spans="1:18" x14ac:dyDescent="0.3">
      <c r="A22">
        <v>21</v>
      </c>
      <c r="B22" t="s">
        <v>438</v>
      </c>
      <c r="C22" t="str">
        <f>+Northey2013!A23</f>
        <v>Chile</v>
      </c>
      <c r="D22" t="str">
        <f>+Northey2013!B23</f>
        <v>Mantos Blancos</v>
      </c>
      <c r="E22" t="str">
        <f>+Northey2013!D23</f>
        <v>IOCG</v>
      </c>
      <c r="F22" t="str">
        <f>VLOOKUP(+Northey2013!F23,Northey2013!$A$39:$B$41,2,0)</f>
        <v>Open Pit</v>
      </c>
      <c r="G22" t="str">
        <f>+Northey2013!E23</f>
        <v>Cu</v>
      </c>
      <c r="H22" s="9">
        <f>+Northey2013!I23/100</f>
        <v>6.8999999999999999E-3</v>
      </c>
      <c r="I22">
        <v>1</v>
      </c>
      <c r="J22">
        <v>226.5</v>
      </c>
      <c r="K22" t="s">
        <v>295</v>
      </c>
      <c r="L22" t="s">
        <v>296</v>
      </c>
      <c r="N22" t="s">
        <v>297</v>
      </c>
      <c r="O22">
        <v>1</v>
      </c>
      <c r="P22" t="str">
        <f>+VLOOKUP(O22,References!$A$2:$F$29,2,0)</f>
        <v>Northey et al. (2013)</v>
      </c>
      <c r="Q22" s="13">
        <f>+VLOOKUP(K22&amp;L22,Unit_Normalization!$A$2:$D$24,4,0)*J22</f>
        <v>226.5</v>
      </c>
      <c r="R22" s="14">
        <f>+Table1[[#This Row],[TotalWater_m3_tonCu]]*Table1[[#This Row],[Grade ore Cu%]]</f>
        <v>1.5628500000000001</v>
      </c>
    </row>
    <row r="23" spans="1:18" x14ac:dyDescent="0.3">
      <c r="A23">
        <v>22</v>
      </c>
      <c r="B23" t="s">
        <v>438</v>
      </c>
      <c r="C23" t="str">
        <f>+Northey2013!A24</f>
        <v>Chile</v>
      </c>
      <c r="D23" t="str">
        <f>+Northey2013!B24</f>
        <v>Mantoverde</v>
      </c>
      <c r="E23" t="str">
        <f>+Northey2013!D24</f>
        <v>IOCG</v>
      </c>
      <c r="F23" t="str">
        <f>VLOOKUP(+Northey2013!F24,Northey2013!$A$39:$B$41,2,0)</f>
        <v>Open Pit</v>
      </c>
      <c r="G23" t="str">
        <f>+Northey2013!E24</f>
        <v>Cu</v>
      </c>
      <c r="H23" s="9">
        <f>+Northey2013!I24/100</f>
        <v>5.6000000000000008E-3</v>
      </c>
      <c r="I23">
        <v>1</v>
      </c>
      <c r="J23">
        <v>46.6</v>
      </c>
      <c r="K23" t="s">
        <v>295</v>
      </c>
      <c r="L23" t="s">
        <v>296</v>
      </c>
      <c r="N23" t="s">
        <v>297</v>
      </c>
      <c r="O23">
        <v>1</v>
      </c>
      <c r="P23" t="str">
        <f>+VLOOKUP(O23,References!$A$2:$F$29,2,0)</f>
        <v>Northey et al. (2013)</v>
      </c>
      <c r="Q23" s="13">
        <f>+VLOOKUP(K23&amp;L23,Unit_Normalization!$A$2:$D$24,4,0)*J23</f>
        <v>46.6</v>
      </c>
      <c r="R23" s="14">
        <f>+Table1[[#This Row],[TotalWater_m3_tonCu]]*Table1[[#This Row],[Grade ore Cu%]]</f>
        <v>0.26096000000000003</v>
      </c>
    </row>
    <row r="24" spans="1:18" x14ac:dyDescent="0.3">
      <c r="A24">
        <v>23</v>
      </c>
      <c r="B24" t="s">
        <v>438</v>
      </c>
      <c r="C24" t="str">
        <f>+Northey2013!A25</f>
        <v>Chile</v>
      </c>
      <c r="D24" t="str">
        <f>+Northey2013!B25</f>
        <v>Salvador</v>
      </c>
      <c r="E24" t="str">
        <f>+Northey2013!D25</f>
        <v>Porphyry</v>
      </c>
      <c r="F24" t="str">
        <f>VLOOKUP(+Northey2013!F25,Northey2013!$A$39:$B$41,2,0)</f>
        <v>Combined</v>
      </c>
      <c r="G24" t="str">
        <f>+Northey2013!E25</f>
        <v>Cu–Mo</v>
      </c>
      <c r="H24" s="9">
        <f>+Northey2013!I25/100</f>
        <v>5.8999999999999999E-3</v>
      </c>
      <c r="I24">
        <v>1</v>
      </c>
      <c r="J24">
        <v>321.3</v>
      </c>
      <c r="K24" t="s">
        <v>295</v>
      </c>
      <c r="L24" t="s">
        <v>296</v>
      </c>
      <c r="N24" t="s">
        <v>297</v>
      </c>
      <c r="O24">
        <v>1</v>
      </c>
      <c r="P24" t="str">
        <f>+VLOOKUP(O24,References!$A$2:$F$29,2,0)</f>
        <v>Northey et al. (2013)</v>
      </c>
      <c r="Q24" s="13">
        <f>+VLOOKUP(K24&amp;L24,Unit_Normalization!$A$2:$D$24,4,0)*J24</f>
        <v>321.3</v>
      </c>
      <c r="R24" s="14">
        <f>+Table1[[#This Row],[TotalWater_m3_tonCu]]*Table1[[#This Row],[Grade ore Cu%]]</f>
        <v>1.89567</v>
      </c>
    </row>
    <row r="25" spans="1:18" x14ac:dyDescent="0.3">
      <c r="A25">
        <v>24</v>
      </c>
      <c r="B25" t="s">
        <v>438</v>
      </c>
      <c r="C25" t="str">
        <f>+Northey2013!A26</f>
        <v>Chile</v>
      </c>
      <c r="D25" t="str">
        <f>+Northey2013!B26</f>
        <v>Quebrada Blanca</v>
      </c>
      <c r="E25" t="str">
        <f>+Northey2013!D26</f>
        <v>Porphyry</v>
      </c>
      <c r="F25" t="str">
        <f>VLOOKUP(+Northey2013!F26,Northey2013!$A$39:$B$41,2,0)</f>
        <v>Open Pit</v>
      </c>
      <c r="G25" t="str">
        <f>+Northey2013!E26</f>
        <v>Cu–Zn</v>
      </c>
      <c r="H25" s="9">
        <f>+Northey2013!I26/100</f>
        <v>8.6E-3</v>
      </c>
      <c r="I25">
        <v>1</v>
      </c>
      <c r="J25">
        <v>21.9</v>
      </c>
      <c r="K25" t="s">
        <v>295</v>
      </c>
      <c r="L25" t="s">
        <v>296</v>
      </c>
      <c r="N25" t="s">
        <v>297</v>
      </c>
      <c r="O25">
        <v>1</v>
      </c>
      <c r="P25" t="str">
        <f>+VLOOKUP(O25,References!$A$2:$F$29,2,0)</f>
        <v>Northey et al. (2013)</v>
      </c>
      <c r="Q25" s="13">
        <f>+VLOOKUP(K25&amp;L25,Unit_Normalization!$A$2:$D$24,4,0)*J25</f>
        <v>21.9</v>
      </c>
      <c r="R25" s="14">
        <f>+Table1[[#This Row],[TotalWater_m3_tonCu]]*Table1[[#This Row],[Grade ore Cu%]]</f>
        <v>0.18833999999999998</v>
      </c>
    </row>
    <row r="26" spans="1:18" x14ac:dyDescent="0.3">
      <c r="A26">
        <v>25</v>
      </c>
      <c r="B26" t="s">
        <v>438</v>
      </c>
      <c r="C26" t="str">
        <f>+Northey2013!A27</f>
        <v>Finland</v>
      </c>
      <c r="D26" t="str">
        <f>+Northey2013!B27</f>
        <v>Pyhasalmi</v>
      </c>
      <c r="E26" t="str">
        <f>+Northey2013!D27</f>
        <v>VMS</v>
      </c>
      <c r="F26" t="str">
        <f>VLOOKUP(+Northey2013!F27,Northey2013!$A$39:$B$41,2,0)</f>
        <v>Underground</v>
      </c>
      <c r="G26" t="str">
        <f>+Northey2013!E27</f>
        <v>Zn–Cu</v>
      </c>
      <c r="H26" s="9">
        <f>+Northey2013!I27/100</f>
        <v>1.0800000000000001E-2</v>
      </c>
      <c r="I26">
        <v>1</v>
      </c>
      <c r="J26">
        <v>211</v>
      </c>
      <c r="K26" t="s">
        <v>295</v>
      </c>
      <c r="L26" t="s">
        <v>296</v>
      </c>
      <c r="N26" t="s">
        <v>297</v>
      </c>
      <c r="O26">
        <v>1</v>
      </c>
      <c r="P26" t="str">
        <f>+VLOOKUP(O26,References!$A$2:$F$29,2,0)</f>
        <v>Northey et al. (2013)</v>
      </c>
      <c r="Q26" s="13">
        <f>+VLOOKUP(K26&amp;L26,Unit_Normalization!$A$2:$D$24,4,0)*J26</f>
        <v>211</v>
      </c>
      <c r="R26" s="14">
        <f>+Table1[[#This Row],[TotalWater_m3_tonCu]]*Table1[[#This Row],[Grade ore Cu%]]</f>
        <v>2.2787999999999999</v>
      </c>
    </row>
    <row r="27" spans="1:18" x14ac:dyDescent="0.3">
      <c r="A27">
        <v>26</v>
      </c>
      <c r="B27" t="s">
        <v>438</v>
      </c>
      <c r="C27" t="str">
        <f>+Northey2013!A28</f>
        <v>Laos</v>
      </c>
      <c r="D27" t="str">
        <f>+Northey2013!B28</f>
        <v>Sepon</v>
      </c>
      <c r="E27" t="str">
        <f>+Northey2013!D28</f>
        <v>Hybrid VMS-SedEx</v>
      </c>
      <c r="F27" t="str">
        <f>VLOOKUP(+Northey2013!F28,Northey2013!$A$39:$B$41,2,0)</f>
        <v>Open Pit</v>
      </c>
      <c r="G27" t="str">
        <f>+Northey2013!E28</f>
        <v>Cu–Au</v>
      </c>
      <c r="H27" s="9">
        <f>+Northey2013!I28/100</f>
        <v>1.9900000000000001E-2</v>
      </c>
      <c r="I27">
        <v>1</v>
      </c>
      <c r="J27">
        <v>34</v>
      </c>
      <c r="K27" t="s">
        <v>295</v>
      </c>
      <c r="L27" t="s">
        <v>296</v>
      </c>
      <c r="N27" t="s">
        <v>297</v>
      </c>
      <c r="O27">
        <v>1</v>
      </c>
      <c r="P27" t="str">
        <f>+VLOOKUP(O27,References!$A$2:$F$29,2,0)</f>
        <v>Northey et al. (2013)</v>
      </c>
      <c r="Q27" s="13">
        <f>+VLOOKUP(K27&amp;L27,Unit_Normalization!$A$2:$D$24,4,0)*J27</f>
        <v>34</v>
      </c>
      <c r="R27" s="14">
        <f>+Table1[[#This Row],[TotalWater_m3_tonCu]]*Table1[[#This Row],[Grade ore Cu%]]</f>
        <v>0.67660000000000009</v>
      </c>
    </row>
    <row r="28" spans="1:18" x14ac:dyDescent="0.3">
      <c r="A28">
        <v>27</v>
      </c>
      <c r="B28" t="s">
        <v>438</v>
      </c>
      <c r="C28" t="str">
        <f>+Northey2013!A29</f>
        <v>South Africa</v>
      </c>
      <c r="D28" t="str">
        <f>+Northey2013!B29</f>
        <v>Palabora</v>
      </c>
      <c r="E28" t="str">
        <f>+Northey2013!D29</f>
        <v>Carbonatitic</v>
      </c>
      <c r="F28" t="str">
        <f>VLOOKUP(+Northey2013!F29,Northey2013!$A$39:$B$41,2,0)</f>
        <v>Underground</v>
      </c>
      <c r="G28" t="str">
        <f>+Northey2013!E29</f>
        <v>Cu</v>
      </c>
      <c r="H28" s="9">
        <f>+Northey2013!I29/100</f>
        <v>6.0999999999999995E-3</v>
      </c>
      <c r="I28">
        <v>1</v>
      </c>
      <c r="J28">
        <v>94.4</v>
      </c>
      <c r="K28" t="s">
        <v>295</v>
      </c>
      <c r="L28" t="s">
        <v>296</v>
      </c>
      <c r="N28" t="s">
        <v>297</v>
      </c>
      <c r="O28">
        <v>1</v>
      </c>
      <c r="P28" t="str">
        <f>+VLOOKUP(O28,References!$A$2:$F$29,2,0)</f>
        <v>Northey et al. (2013)</v>
      </c>
      <c r="Q28" s="13">
        <f>+VLOOKUP(K28&amp;L28,Unit_Normalization!$A$2:$D$24,4,0)*J28</f>
        <v>94.4</v>
      </c>
      <c r="R28" s="14">
        <f>+Table1[[#This Row],[TotalWater_m3_tonCu]]*Table1[[#This Row],[Grade ore Cu%]]</f>
        <v>0.57584000000000002</v>
      </c>
    </row>
    <row r="29" spans="1:18" x14ac:dyDescent="0.3">
      <c r="A29">
        <v>28</v>
      </c>
      <c r="B29" t="s">
        <v>438</v>
      </c>
      <c r="C29" t="str">
        <f>+Northey2013!A30</f>
        <v>Turkey</v>
      </c>
      <c r="D29" t="str">
        <f>+Northey2013!B30</f>
        <v>Cayeli</v>
      </c>
      <c r="E29" t="str">
        <f>+Northey2013!D30</f>
        <v>VMS</v>
      </c>
      <c r="F29" t="str">
        <f>VLOOKUP(+Northey2013!F30,Northey2013!$A$39:$B$41,2,0)</f>
        <v>Underground</v>
      </c>
      <c r="G29" t="str">
        <f>+Northey2013!E30</f>
        <v>Cu–Zn</v>
      </c>
      <c r="H29" s="9">
        <f>+Northey2013!I30/100</f>
        <v>3.78E-2</v>
      </c>
      <c r="I29">
        <v>1</v>
      </c>
      <c r="J29">
        <v>87.3</v>
      </c>
      <c r="K29" t="s">
        <v>295</v>
      </c>
      <c r="L29" t="s">
        <v>296</v>
      </c>
      <c r="N29" t="s">
        <v>297</v>
      </c>
      <c r="O29">
        <v>1</v>
      </c>
      <c r="P29" t="str">
        <f>+VLOOKUP(O29,References!$A$2:$F$29,2,0)</f>
        <v>Northey et al. (2013)</v>
      </c>
      <c r="Q29" s="13">
        <f>+VLOOKUP(K29&amp;L29,Unit_Normalization!$A$2:$D$24,4,0)*J29</f>
        <v>87.3</v>
      </c>
      <c r="R29" s="14">
        <f>+Table1[[#This Row],[TotalWater_m3_tonCu]]*Table1[[#This Row],[Grade ore Cu%]]</f>
        <v>3.2999399999999999</v>
      </c>
    </row>
    <row r="30" spans="1:18" x14ac:dyDescent="0.3">
      <c r="A30">
        <v>29</v>
      </c>
      <c r="B30" t="s">
        <v>438</v>
      </c>
      <c r="C30" t="str">
        <f>+Northey2013!A31</f>
        <v>Peru</v>
      </c>
      <c r="D30" t="str">
        <f>+Northey2013!B31</f>
        <v>Tintaya</v>
      </c>
      <c r="E30" t="str">
        <f>+Northey2013!D31</f>
        <v>Skarn</v>
      </c>
      <c r="F30" t="str">
        <f>VLOOKUP(+Northey2013!F31,Northey2013!$A$39:$B$41,2,0)</f>
        <v>Open Pit</v>
      </c>
      <c r="G30" t="str">
        <f>+Northey2013!E31</f>
        <v>Cu–Au</v>
      </c>
      <c r="H30" s="9">
        <f>+Northey2013!I31/100</f>
        <v>1.34E-2</v>
      </c>
      <c r="I30">
        <v>1</v>
      </c>
      <c r="J30">
        <v>42.5</v>
      </c>
      <c r="K30" t="s">
        <v>295</v>
      </c>
      <c r="L30" t="s">
        <v>296</v>
      </c>
      <c r="N30" t="s">
        <v>297</v>
      </c>
      <c r="O30">
        <v>1</v>
      </c>
      <c r="P30" t="str">
        <f>+VLOOKUP(O30,References!$A$2:$F$29,2,0)</f>
        <v>Northey et al. (2013)</v>
      </c>
      <c r="Q30" s="13">
        <f>+VLOOKUP(K30&amp;L30,Unit_Normalization!$A$2:$D$24,4,0)*J30</f>
        <v>42.5</v>
      </c>
      <c r="R30" s="14">
        <f>+Table1[[#This Row],[TotalWater_m3_tonCu]]*Table1[[#This Row],[Grade ore Cu%]]</f>
        <v>0.56950000000000001</v>
      </c>
    </row>
    <row r="31" spans="1:18" x14ac:dyDescent="0.3">
      <c r="A31">
        <v>30</v>
      </c>
      <c r="B31" t="s">
        <v>438</v>
      </c>
      <c r="C31" t="str">
        <f>+Northey2013!A32</f>
        <v>PNG</v>
      </c>
      <c r="D31" t="str">
        <f>+Northey2013!B32</f>
        <v>Ok Tedi</v>
      </c>
      <c r="E31" t="str">
        <f>+Northey2013!D32</f>
        <v>Porphyry</v>
      </c>
      <c r="F31" t="str">
        <f>VLOOKUP(+Northey2013!F32,Northey2013!$A$39:$B$41,2,0)</f>
        <v>Open Pit</v>
      </c>
      <c r="G31" t="str">
        <f>+Northey2013!E32</f>
        <v>Cu–Au–Ag</v>
      </c>
      <c r="H31" s="9">
        <f>+Northey2013!I32/100</f>
        <v>8.3000000000000001E-3</v>
      </c>
      <c r="I31">
        <v>1</v>
      </c>
      <c r="J31">
        <v>38.799999999999997</v>
      </c>
      <c r="K31" t="s">
        <v>295</v>
      </c>
      <c r="L31" t="s">
        <v>296</v>
      </c>
      <c r="N31" t="s">
        <v>297</v>
      </c>
      <c r="O31">
        <v>1</v>
      </c>
      <c r="P31" t="str">
        <f>+VLOOKUP(O31,References!$A$2:$F$29,2,0)</f>
        <v>Northey et al. (2013)</v>
      </c>
      <c r="Q31" s="13">
        <f>+VLOOKUP(K31&amp;L31,Unit_Normalization!$A$2:$D$24,4,0)*J31</f>
        <v>38.799999999999997</v>
      </c>
      <c r="R31" s="14">
        <f>+Table1[[#This Row],[TotalWater_m3_tonCu]]*Table1[[#This Row],[Grade ore Cu%]]</f>
        <v>0.32203999999999999</v>
      </c>
    </row>
    <row r="32" spans="1:18" x14ac:dyDescent="0.3">
      <c r="A32">
        <v>31</v>
      </c>
      <c r="B32" t="s">
        <v>438</v>
      </c>
      <c r="C32" t="str">
        <f>+Northey2013!A33</f>
        <v>USA</v>
      </c>
      <c r="D32" t="str">
        <f>+Northey2013!B33</f>
        <v>Kennecott Utah</v>
      </c>
      <c r="E32" t="str">
        <f>+Northey2013!D33</f>
        <v>Porphyry</v>
      </c>
      <c r="F32" t="str">
        <f>VLOOKUP(+Northey2013!F33,Northey2013!$A$39:$B$41,2,0)</f>
        <v>Open Pit</v>
      </c>
      <c r="G32" t="str">
        <f>+Northey2013!E33</f>
        <v>Cu–Au–Ag–Mo</v>
      </c>
      <c r="H32" s="9">
        <f>+Northey2013!I33/100</f>
        <v>5.8999999999999999E-3</v>
      </c>
      <c r="I32">
        <v>1</v>
      </c>
      <c r="J32">
        <v>9.8000000000000007</v>
      </c>
      <c r="K32" t="s">
        <v>295</v>
      </c>
      <c r="L32" t="s">
        <v>296</v>
      </c>
      <c r="N32" t="s">
        <v>297</v>
      </c>
      <c r="O32">
        <v>1</v>
      </c>
      <c r="P32" t="str">
        <f>+VLOOKUP(O32,References!$A$2:$F$29,2,0)</f>
        <v>Northey et al. (2013)</v>
      </c>
      <c r="Q32" s="13">
        <f>+VLOOKUP(K32&amp;L32,Unit_Normalization!$A$2:$D$24,4,0)*J32</f>
        <v>9.8000000000000007</v>
      </c>
      <c r="R32" s="14">
        <f>+Table1[[#This Row],[TotalWater_m3_tonCu]]*Table1[[#This Row],[Grade ore Cu%]]</f>
        <v>5.7820000000000003E-2</v>
      </c>
    </row>
    <row r="33" spans="1:18" x14ac:dyDescent="0.3">
      <c r="A33">
        <v>32</v>
      </c>
      <c r="B33" t="s">
        <v>438</v>
      </c>
      <c r="C33" t="str">
        <f>+Lutter2025!A2</f>
        <v>Africa</v>
      </c>
      <c r="D33" t="str">
        <f>+Lutter2025!B2</f>
        <v>Trident - Sentinel</v>
      </c>
      <c r="E33" t="str">
        <f>VLOOKUP(Lutter2025!E2,Lutter2025!$A$46:$B$51,2,0)</f>
        <v>sediment hosted</v>
      </c>
      <c r="F33" t="str">
        <f>+Lutter2025!D2</f>
        <v>Open Pit</v>
      </c>
      <c r="G33" t="str">
        <f>+VLOOKUP(Lutter2025!C2,Lutter2025!$A$54:$B$58,2,0)</f>
        <v>copper as main product</v>
      </c>
      <c r="H33" s="9">
        <v>4.8999999999999998E-3</v>
      </c>
      <c r="I33" t="s">
        <v>375</v>
      </c>
      <c r="J33">
        <f>+Lutter2025!H2</f>
        <v>302</v>
      </c>
      <c r="K33" t="s">
        <v>364</v>
      </c>
      <c r="L33" t="s">
        <v>365</v>
      </c>
      <c r="O33">
        <v>2</v>
      </c>
      <c r="P33" t="str">
        <f>+VLOOKUP(O33,References!$A$2:$F$29,2,0)</f>
        <v>Lutter et al. (2025)</v>
      </c>
      <c r="Q33" s="13">
        <f>+VLOOKUP(K33&amp;L33,Unit_Normalization!$A$2:$D$24,4,0)*J33</f>
        <v>302</v>
      </c>
      <c r="R33" s="14">
        <f>+Table1[[#This Row],[TotalWater_m3_tonCu]]*Table1[[#This Row],[Grade ore Cu%]]</f>
        <v>1.4798</v>
      </c>
    </row>
    <row r="34" spans="1:18" x14ac:dyDescent="0.3">
      <c r="A34">
        <v>33</v>
      </c>
      <c r="B34" t="s">
        <v>438</v>
      </c>
      <c r="C34" t="str">
        <f>+Lutter2025!A3</f>
        <v>Africa</v>
      </c>
      <c r="D34" t="str">
        <f>+Lutter2025!B3</f>
        <v>Kansanshi</v>
      </c>
      <c r="E34" t="str">
        <f>VLOOKUP(Lutter2025!E3,Lutter2025!$A$46:$B$51,2,0)</f>
        <v>sediment hosted</v>
      </c>
      <c r="F34" t="str">
        <f>+Lutter2025!D3</f>
        <v>Combined</v>
      </c>
      <c r="G34" t="str">
        <f>+VLOOKUP(Lutter2025!C3,Lutter2025!$A$54:$B$58,2,0)</f>
        <v>copper as main product</v>
      </c>
      <c r="H34" s="9">
        <v>5.8489299999999996E-3</v>
      </c>
      <c r="I34" t="s">
        <v>375</v>
      </c>
      <c r="J34">
        <f>+Lutter2025!H3</f>
        <v>197</v>
      </c>
      <c r="K34" t="s">
        <v>364</v>
      </c>
      <c r="L34" t="s">
        <v>365</v>
      </c>
      <c r="O34">
        <v>2</v>
      </c>
      <c r="P34" t="str">
        <f>+VLOOKUP(O34,References!$A$2:$F$29,2,0)</f>
        <v>Lutter et al. (2025)</v>
      </c>
      <c r="Q34" s="13">
        <f>+VLOOKUP(K34&amp;L34,Unit_Normalization!$A$2:$D$24,4,0)*J34</f>
        <v>197</v>
      </c>
      <c r="R34" s="14">
        <f>+Table1[[#This Row],[TotalWater_m3_tonCu]]*Table1[[#This Row],[Grade ore Cu%]]</f>
        <v>1.1522392099999998</v>
      </c>
    </row>
    <row r="35" spans="1:18" x14ac:dyDescent="0.3">
      <c r="A35">
        <v>34</v>
      </c>
      <c r="B35" t="s">
        <v>438</v>
      </c>
      <c r="C35" t="str">
        <f>+Lutter2025!A4</f>
        <v>Africa</v>
      </c>
      <c r="D35" t="str">
        <f>+Lutter2025!B4</f>
        <v>Lumwana</v>
      </c>
      <c r="E35" t="str">
        <f>VLOOKUP(Lutter2025!E4,Lutter2025!$A$46:$B$51,2,0)</f>
        <v>sediment hosted</v>
      </c>
      <c r="F35" t="str">
        <f>+Lutter2025!D4</f>
        <v>Open Pit</v>
      </c>
      <c r="G35" t="str">
        <f>+VLOOKUP(Lutter2025!C4,Lutter2025!$A$54:$B$58,2,0)</f>
        <v>copper as main product</v>
      </c>
      <c r="H35" s="9">
        <v>4.8999999999999998E-3</v>
      </c>
      <c r="I35" t="s">
        <v>375</v>
      </c>
      <c r="J35">
        <f>+Lutter2025!H4</f>
        <v>149</v>
      </c>
      <c r="K35" t="s">
        <v>364</v>
      </c>
      <c r="L35" t="s">
        <v>365</v>
      </c>
      <c r="O35">
        <v>2</v>
      </c>
      <c r="P35" t="str">
        <f>+VLOOKUP(O35,References!$A$2:$F$29,2,0)</f>
        <v>Lutter et al. (2025)</v>
      </c>
      <c r="Q35" s="13">
        <f>+VLOOKUP(K35&amp;L35,Unit_Normalization!$A$2:$D$24,4,0)*J35</f>
        <v>149</v>
      </c>
      <c r="R35" s="14">
        <f>+Table1[[#This Row],[TotalWater_m3_tonCu]]*Table1[[#This Row],[Grade ore Cu%]]</f>
        <v>0.73009999999999997</v>
      </c>
    </row>
    <row r="36" spans="1:18" x14ac:dyDescent="0.3">
      <c r="A36">
        <v>35</v>
      </c>
      <c r="B36" t="s">
        <v>438</v>
      </c>
      <c r="C36" t="str">
        <f>+Lutter2025!A5</f>
        <v>Africa</v>
      </c>
      <c r="D36" t="str">
        <f>+Lutter2025!B5</f>
        <v>Kamoto</v>
      </c>
      <c r="E36" t="str">
        <f>VLOOKUP(Lutter2025!E5,Lutter2025!$A$46:$B$51,2,0)</f>
        <v>sediment hosted</v>
      </c>
      <c r="F36" t="str">
        <f>+Lutter2025!D5</f>
        <v>Combined</v>
      </c>
      <c r="G36" t="str">
        <f>+VLOOKUP(Lutter2025!C5,Lutter2025!$A$54:$B$58,2,0)</f>
        <v>copper as main product</v>
      </c>
      <c r="H36" s="9">
        <v>8.8527519200000005E-3</v>
      </c>
      <c r="I36" t="s">
        <v>375</v>
      </c>
      <c r="J36">
        <f>+Lutter2025!H5</f>
        <v>49</v>
      </c>
      <c r="K36" t="s">
        <v>364</v>
      </c>
      <c r="L36" t="s">
        <v>365</v>
      </c>
      <c r="O36">
        <v>2</v>
      </c>
      <c r="P36" t="str">
        <f>+VLOOKUP(O36,References!$A$2:$F$29,2,0)</f>
        <v>Lutter et al. (2025)</v>
      </c>
      <c r="Q36" s="13">
        <f>+VLOOKUP(K36&amp;L36,Unit_Normalization!$A$2:$D$24,4,0)*J36</f>
        <v>49</v>
      </c>
      <c r="R36" s="14">
        <f>+Table1[[#This Row],[TotalWater_m3_tonCu]]*Table1[[#This Row],[Grade ore Cu%]]</f>
        <v>0.43378484408000001</v>
      </c>
    </row>
    <row r="37" spans="1:18" x14ac:dyDescent="0.3">
      <c r="A37">
        <v>36</v>
      </c>
      <c r="B37" t="s">
        <v>438</v>
      </c>
      <c r="C37" t="str">
        <f>+Lutter2025!A6</f>
        <v>Africa</v>
      </c>
      <c r="D37" t="str">
        <f>+Lutter2025!B6</f>
        <v>Tenke Fungurume</v>
      </c>
      <c r="E37" t="str">
        <f>VLOOKUP(Lutter2025!E6,Lutter2025!$A$46:$B$51,2,0)</f>
        <v>sediment hosted</v>
      </c>
      <c r="F37" t="str">
        <f>+Lutter2025!D6</f>
        <v>Open Pit</v>
      </c>
      <c r="G37" t="str">
        <f>+VLOOKUP(Lutter2025!C6,Lutter2025!$A$54:$B$58,2,0)</f>
        <v>copper as main product</v>
      </c>
      <c r="H37" s="9">
        <v>2.8300000000000002E-2</v>
      </c>
      <c r="I37" t="s">
        <v>375</v>
      </c>
      <c r="J37">
        <f>+Lutter2025!H6</f>
        <v>72</v>
      </c>
      <c r="K37" t="s">
        <v>364</v>
      </c>
      <c r="L37" t="s">
        <v>365</v>
      </c>
      <c r="O37">
        <v>2</v>
      </c>
      <c r="P37" t="str">
        <f>+VLOOKUP(O37,References!$A$2:$F$29,2,0)</f>
        <v>Lutter et al. (2025)</v>
      </c>
      <c r="Q37" s="13">
        <f>+VLOOKUP(K37&amp;L37,Unit_Normalization!$A$2:$D$24,4,0)*J37</f>
        <v>72</v>
      </c>
      <c r="R37" s="14">
        <f>+Table1[[#This Row],[TotalWater_m3_tonCu]]*Table1[[#This Row],[Grade ore Cu%]]</f>
        <v>2.0376000000000003</v>
      </c>
    </row>
    <row r="38" spans="1:18" x14ac:dyDescent="0.3">
      <c r="A38">
        <v>37</v>
      </c>
      <c r="B38" t="s">
        <v>438</v>
      </c>
      <c r="C38" t="str">
        <f>+Lutter2025!A7</f>
        <v>East Asia</v>
      </c>
      <c r="D38" t="str">
        <f>+Lutter2025!B7</f>
        <v>Grasberg</v>
      </c>
      <c r="E38" t="str">
        <f>VLOOKUP(Lutter2025!E7,Lutter2025!$A$46:$B$51,2,0)</f>
        <v>porphyry deposit</v>
      </c>
      <c r="F38" t="str">
        <f>+Lutter2025!D7</f>
        <v>Combined</v>
      </c>
      <c r="G38" t="str">
        <f>+VLOOKUP(Lutter2025!C7,Lutter2025!$A$54:$B$58,2,0)</f>
        <v>copper as main product</v>
      </c>
      <c r="H38" s="9">
        <v>1.2199999999999999E-2</v>
      </c>
      <c r="I38" t="s">
        <v>375</v>
      </c>
      <c r="J38">
        <f>+Lutter2025!H7</f>
        <v>163</v>
      </c>
      <c r="K38" t="s">
        <v>364</v>
      </c>
      <c r="L38" t="s">
        <v>365</v>
      </c>
      <c r="O38">
        <v>2</v>
      </c>
      <c r="P38" t="str">
        <f>+VLOOKUP(O38,References!$A$2:$F$29,2,0)</f>
        <v>Lutter et al. (2025)</v>
      </c>
      <c r="Q38" s="13">
        <f>+VLOOKUP(K38&amp;L38,Unit_Normalization!$A$2:$D$24,4,0)*J38</f>
        <v>163</v>
      </c>
      <c r="R38" s="14">
        <f>+Table1[[#This Row],[TotalWater_m3_tonCu]]*Table1[[#This Row],[Grade ore Cu%]]</f>
        <v>1.9885999999999999</v>
      </c>
    </row>
    <row r="39" spans="1:18" x14ac:dyDescent="0.3">
      <c r="A39">
        <v>38</v>
      </c>
      <c r="B39" t="s">
        <v>438</v>
      </c>
      <c r="C39" t="str">
        <f>+Lutter2025!A8</f>
        <v>East Asia</v>
      </c>
      <c r="D39" t="str">
        <f>+Lutter2025!B8</f>
        <v>Erdenet</v>
      </c>
      <c r="E39" t="str">
        <f>VLOOKUP(Lutter2025!E8,Lutter2025!$A$46:$B$51,2,0)</f>
        <v>porphyry deposit</v>
      </c>
      <c r="F39" t="str">
        <f>+Lutter2025!D8</f>
        <v>Open Pit</v>
      </c>
      <c r="G39" t="str">
        <f>+VLOOKUP(Lutter2025!C8,Lutter2025!$A$54:$B$58,2,0)</f>
        <v>copper as main product</v>
      </c>
      <c r="H39" s="9">
        <v>5.2849999999999998E-3</v>
      </c>
      <c r="I39" t="s">
        <v>375</v>
      </c>
      <c r="J39">
        <f>+Lutter2025!H8</f>
        <v>192</v>
      </c>
      <c r="K39" t="s">
        <v>364</v>
      </c>
      <c r="L39" t="s">
        <v>365</v>
      </c>
      <c r="O39">
        <v>2</v>
      </c>
      <c r="P39" t="str">
        <f>+VLOOKUP(O39,References!$A$2:$F$29,2,0)</f>
        <v>Lutter et al. (2025)</v>
      </c>
      <c r="Q39" s="13">
        <f>+VLOOKUP(K39&amp;L39,Unit_Normalization!$A$2:$D$24,4,0)*J39</f>
        <v>192</v>
      </c>
      <c r="R39" s="14">
        <f>+Table1[[#This Row],[TotalWater_m3_tonCu]]*Table1[[#This Row],[Grade ore Cu%]]</f>
        <v>1.0147200000000001</v>
      </c>
    </row>
    <row r="40" spans="1:18" x14ac:dyDescent="0.3">
      <c r="A40">
        <v>39</v>
      </c>
      <c r="B40" t="s">
        <v>438</v>
      </c>
      <c r="C40" t="str">
        <f>+Lutter2025!A9</f>
        <v>East Asia</v>
      </c>
      <c r="D40" t="str">
        <f>+Lutter2025!B9</f>
        <v>Dexing Complex</v>
      </c>
      <c r="E40" t="str">
        <f>VLOOKUP(Lutter2025!E9,Lutter2025!$A$46:$B$51,2,0)</f>
        <v>porphyry deposit</v>
      </c>
      <c r="F40" t="str">
        <f>+Lutter2025!D9</f>
        <v>Combined</v>
      </c>
      <c r="G40" t="str">
        <f>+VLOOKUP(Lutter2025!C9,Lutter2025!$A$54:$B$58,2,0)</f>
        <v>copper as main product</v>
      </c>
      <c r="H40" s="9">
        <v>3.9569999999999996E-3</v>
      </c>
      <c r="I40" t="s">
        <v>375</v>
      </c>
      <c r="J40">
        <f>+Lutter2025!H9</f>
        <v>162</v>
      </c>
      <c r="K40" t="s">
        <v>364</v>
      </c>
      <c r="L40" t="s">
        <v>365</v>
      </c>
      <c r="O40">
        <v>2</v>
      </c>
      <c r="P40" t="str">
        <f>+VLOOKUP(O40,References!$A$2:$F$29,2,0)</f>
        <v>Lutter et al. (2025)</v>
      </c>
      <c r="Q40" s="13">
        <f>+VLOOKUP(K40&amp;L40,Unit_Normalization!$A$2:$D$24,4,0)*J40</f>
        <v>162</v>
      </c>
      <c r="R40" s="14">
        <f>+Table1[[#This Row],[TotalWater_m3_tonCu]]*Table1[[#This Row],[Grade ore Cu%]]</f>
        <v>0.64103399999999988</v>
      </c>
    </row>
    <row r="41" spans="1:18" x14ac:dyDescent="0.3">
      <c r="A41">
        <v>40</v>
      </c>
      <c r="B41" t="s">
        <v>438</v>
      </c>
      <c r="C41" t="str">
        <f>+Lutter2025!A10</f>
        <v>East Asia</v>
      </c>
      <c r="D41" t="str">
        <f>+Lutter2025!B10</f>
        <v>Letpadaung Mountain</v>
      </c>
      <c r="E41" t="str">
        <f>VLOOKUP(Lutter2025!E10,Lutter2025!$A$46:$B$51,2,0)</f>
        <v>iron oxide copper-gold deposit</v>
      </c>
      <c r="F41" t="str">
        <f>+Lutter2025!D10</f>
        <v>Open Pit</v>
      </c>
      <c r="G41" t="e">
        <f>+VLOOKUP(Lutter2025!C10,Lutter2025!$A$54:$B$58,2,0)</f>
        <v>#N/A</v>
      </c>
      <c r="H41" s="9">
        <v>3.8926300200000001E-3</v>
      </c>
      <c r="I41" t="s">
        <v>375</v>
      </c>
      <c r="J41">
        <f>+Lutter2025!H10</f>
        <v>199</v>
      </c>
      <c r="K41" t="s">
        <v>364</v>
      </c>
      <c r="L41" t="s">
        <v>365</v>
      </c>
      <c r="O41">
        <v>2</v>
      </c>
      <c r="P41" t="str">
        <f>+VLOOKUP(O41,References!$A$2:$F$29,2,0)</f>
        <v>Lutter et al. (2025)</v>
      </c>
      <c r="Q41" s="13">
        <f>+VLOOKUP(K41&amp;L41,Unit_Normalization!$A$2:$D$24,4,0)*J41</f>
        <v>199</v>
      </c>
      <c r="R41" s="14">
        <f>+Table1[[#This Row],[TotalWater_m3_tonCu]]*Table1[[#This Row],[Grade ore Cu%]]</f>
        <v>0.77463337397999998</v>
      </c>
    </row>
    <row r="42" spans="1:18" x14ac:dyDescent="0.3">
      <c r="A42">
        <v>41</v>
      </c>
      <c r="B42" t="s">
        <v>438</v>
      </c>
      <c r="C42" t="str">
        <f>+Lutter2025!A11</f>
        <v>East Asia</v>
      </c>
      <c r="D42" t="str">
        <f>+Lutter2025!B11</f>
        <v>Batu Hijau</v>
      </c>
      <c r="E42" t="str">
        <f>VLOOKUP(Lutter2025!E11,Lutter2025!$A$46:$B$51,2,0)</f>
        <v>porphyry deposit</v>
      </c>
      <c r="F42" t="str">
        <f>+Lutter2025!D11</f>
        <v>Open Pit</v>
      </c>
      <c r="G42" t="str">
        <f>+VLOOKUP(Lutter2025!C11,Lutter2025!$A$54:$B$58,2,0)</f>
        <v>copper as main product</v>
      </c>
      <c r="H42" s="9">
        <v>4.5179999999999994E-3</v>
      </c>
      <c r="I42" t="s">
        <v>375</v>
      </c>
      <c r="J42">
        <f>+Lutter2025!H11</f>
        <v>129</v>
      </c>
      <c r="K42" t="s">
        <v>364</v>
      </c>
      <c r="L42" t="s">
        <v>365</v>
      </c>
      <c r="O42">
        <v>2</v>
      </c>
      <c r="P42" t="str">
        <f>+VLOOKUP(O42,References!$A$2:$F$29,2,0)</f>
        <v>Lutter et al. (2025)</v>
      </c>
      <c r="Q42" s="13">
        <f>+VLOOKUP(K42&amp;L42,Unit_Normalization!$A$2:$D$24,4,0)*J42</f>
        <v>129</v>
      </c>
      <c r="R42" s="14">
        <f>+Table1[[#This Row],[TotalWater_m3_tonCu]]*Table1[[#This Row],[Grade ore Cu%]]</f>
        <v>0.58282199999999995</v>
      </c>
    </row>
    <row r="43" spans="1:18" hidden="1" x14ac:dyDescent="0.3">
      <c r="A43">
        <v>42</v>
      </c>
      <c r="B43" t="s">
        <v>438</v>
      </c>
      <c r="C43" t="str">
        <f>+Lutter2025!A12</f>
        <v>Europe &amp; Central Asia</v>
      </c>
      <c r="D43" t="str">
        <f>+Lutter2025!B12</f>
        <v>Kola Division</v>
      </c>
      <c r="E43" t="str">
        <f>VLOOKUP(Lutter2025!E12,Lutter2025!$A$46:$B$51,2,0)</f>
        <v>unknown type of deposit</v>
      </c>
      <c r="F43" t="str">
        <f>+Lutter2025!D12</f>
        <v>Combined</v>
      </c>
      <c r="G43" t="str">
        <f>+VLOOKUP(Lutter2025!C12,Lutter2025!$A$54:$B$58,2,0)</f>
        <v>copper as by-product</v>
      </c>
      <c r="H43" s="9"/>
      <c r="I43" t="s">
        <v>375</v>
      </c>
      <c r="J43">
        <f>+Lutter2025!H12</f>
        <v>321</v>
      </c>
      <c r="K43" t="s">
        <v>364</v>
      </c>
      <c r="L43" t="s">
        <v>365</v>
      </c>
      <c r="O43">
        <v>2</v>
      </c>
      <c r="P43" t="str">
        <f>+VLOOKUP(O43,References!$A$2:$F$29,2,0)</f>
        <v>Lutter et al. (2025)</v>
      </c>
      <c r="Q43" s="13">
        <f>+VLOOKUP(K43&amp;L43,Unit_Normalization!$A$2:$D$24,4,0)*J43</f>
        <v>321</v>
      </c>
      <c r="R43" s="14"/>
    </row>
    <row r="44" spans="1:18" hidden="1" x14ac:dyDescent="0.3">
      <c r="A44">
        <v>43</v>
      </c>
      <c r="B44" t="s">
        <v>438</v>
      </c>
      <c r="C44" t="str">
        <f>+Lutter2025!A13</f>
        <v>Europe &amp; Central Asia</v>
      </c>
      <c r="D44" t="str">
        <f>+Lutter2025!B13</f>
        <v>Polar Division</v>
      </c>
      <c r="E44" t="str">
        <f>VLOOKUP(Lutter2025!E13,Lutter2025!$A$46:$B$51,2,0)</f>
        <v>other type of deposit</v>
      </c>
      <c r="F44" t="str">
        <f>+Lutter2025!D13</f>
        <v>Combined</v>
      </c>
      <c r="G44" t="str">
        <f>+VLOOKUP(Lutter2025!C13,Lutter2025!$A$54:$B$58,2,0)</f>
        <v>copper as by-product</v>
      </c>
      <c r="H44" s="9"/>
      <c r="I44" t="s">
        <v>375</v>
      </c>
      <c r="J44">
        <f>+Lutter2025!H13</f>
        <v>74</v>
      </c>
      <c r="K44" t="s">
        <v>364</v>
      </c>
      <c r="L44" t="s">
        <v>365</v>
      </c>
      <c r="O44">
        <v>2</v>
      </c>
      <c r="P44" t="str">
        <f>+VLOOKUP(O44,References!$A$2:$F$29,2,0)</f>
        <v>Lutter et al. (2025)</v>
      </c>
      <c r="Q44" s="13">
        <f>+VLOOKUP(K44&amp;L44,Unit_Normalization!$A$2:$D$24,4,0)*J44</f>
        <v>74</v>
      </c>
      <c r="R44" s="14"/>
    </row>
    <row r="45" spans="1:18" x14ac:dyDescent="0.3">
      <c r="A45">
        <v>44</v>
      </c>
      <c r="B45" t="s">
        <v>438</v>
      </c>
      <c r="C45" t="str">
        <f>+Lutter2025!A14</f>
        <v>Europe &amp; Central Asia</v>
      </c>
      <c r="D45" t="str">
        <f>+Lutter2025!B14</f>
        <v>Rudna</v>
      </c>
      <c r="E45" t="str">
        <f>VLOOKUP(Lutter2025!E14,Lutter2025!$A$46:$B$51,2,0)</f>
        <v>sediment hosted</v>
      </c>
      <c r="F45" t="str">
        <f>+Lutter2025!D14</f>
        <v>Underground</v>
      </c>
      <c r="G45" t="str">
        <f>+VLOOKUP(Lutter2025!C14,Lutter2025!$A$54:$B$58,2,0)</f>
        <v>copper as main product</v>
      </c>
      <c r="H45" s="9">
        <v>2.0199999999999999E-2</v>
      </c>
      <c r="I45" s="11" t="s">
        <v>376</v>
      </c>
      <c r="J45">
        <f>+Lutter2025!H14</f>
        <v>135</v>
      </c>
      <c r="K45" t="s">
        <v>364</v>
      </c>
      <c r="L45" t="s">
        <v>365</v>
      </c>
      <c r="O45">
        <v>2</v>
      </c>
      <c r="P45" t="str">
        <f>+VLOOKUP(O45,References!$A$2:$F$29,2,0)</f>
        <v>Lutter et al. (2025)</v>
      </c>
      <c r="Q45" s="13">
        <f>+VLOOKUP(K45&amp;L45,Unit_Normalization!$A$2:$D$24,4,0)*J45</f>
        <v>135</v>
      </c>
      <c r="R45" s="14">
        <f>+Table1[[#This Row],[TotalWater_m3_tonCu]]*Table1[[#This Row],[Grade ore Cu%]]</f>
        <v>2.7269999999999999</v>
      </c>
    </row>
    <row r="46" spans="1:18" x14ac:dyDescent="0.3">
      <c r="A46">
        <v>45</v>
      </c>
      <c r="B46" t="s">
        <v>438</v>
      </c>
      <c r="C46" t="str">
        <f>+Lutter2025!A15</f>
        <v>Europe &amp; Central Asia</v>
      </c>
      <c r="D46" t="str">
        <f>+Lutter2025!B15</f>
        <v>Aitik</v>
      </c>
      <c r="E46" t="str">
        <f>VLOOKUP(Lutter2025!E15,Lutter2025!$A$46:$B$51,2,0)</f>
        <v>porphyry deposit</v>
      </c>
      <c r="F46" t="str">
        <f>+Lutter2025!D15</f>
        <v>Open Pit</v>
      </c>
      <c r="G46" t="str">
        <f>+VLOOKUP(Lutter2025!C15,Lutter2025!$A$54:$B$58,2,0)</f>
        <v>copper as main product</v>
      </c>
      <c r="H46" s="9">
        <v>1.8E-3</v>
      </c>
      <c r="I46" t="s">
        <v>375</v>
      </c>
      <c r="J46">
        <f>+Lutter2025!H15</f>
        <v>267</v>
      </c>
      <c r="K46" t="s">
        <v>364</v>
      </c>
      <c r="L46" t="s">
        <v>365</v>
      </c>
      <c r="O46">
        <v>2</v>
      </c>
      <c r="P46" t="str">
        <f>+VLOOKUP(O46,References!$A$2:$F$29,2,0)</f>
        <v>Lutter et al. (2025)</v>
      </c>
      <c r="Q46" s="13">
        <f>+VLOOKUP(K46&amp;L46,Unit_Normalization!$A$2:$D$24,4,0)*J46</f>
        <v>267</v>
      </c>
      <c r="R46" s="14">
        <f>+Table1[[#This Row],[TotalWater_m3_tonCu]]*Table1[[#This Row],[Grade ore Cu%]]</f>
        <v>0.48059999999999997</v>
      </c>
    </row>
    <row r="47" spans="1:18" x14ac:dyDescent="0.3">
      <c r="A47">
        <v>46</v>
      </c>
      <c r="B47" t="s">
        <v>438</v>
      </c>
      <c r="C47" t="str">
        <f>+Lutter2025!A16</f>
        <v>Europe &amp; Central Asia</v>
      </c>
      <c r="D47" t="str">
        <f>+Lutter2025!B16</f>
        <v>Zhezkazgan Complex</v>
      </c>
      <c r="E47" t="str">
        <f>VLOOKUP(Lutter2025!E16,Lutter2025!$A$46:$B$51,2,0)</f>
        <v>sediment hosted</v>
      </c>
      <c r="F47" t="str">
        <f>+Lutter2025!D16</f>
        <v>Combined</v>
      </c>
      <c r="G47" t="str">
        <f>+VLOOKUP(Lutter2025!C16,Lutter2025!$A$54:$B$58,2,0)</f>
        <v>copper as main product</v>
      </c>
      <c r="H47" s="9">
        <v>1.2699999999999999E-2</v>
      </c>
      <c r="I47" t="s">
        <v>375</v>
      </c>
      <c r="J47">
        <f>+Lutter2025!H16</f>
        <v>142</v>
      </c>
      <c r="K47" t="s">
        <v>364</v>
      </c>
      <c r="L47" t="s">
        <v>365</v>
      </c>
      <c r="O47">
        <v>2</v>
      </c>
      <c r="P47" t="str">
        <f>+VLOOKUP(O47,References!$A$2:$F$29,2,0)</f>
        <v>Lutter et al. (2025)</v>
      </c>
      <c r="Q47" s="13">
        <f>+VLOOKUP(K47&amp;L47,Unit_Normalization!$A$2:$D$24,4,0)*J47</f>
        <v>142</v>
      </c>
      <c r="R47" s="14">
        <f>+Table1[[#This Row],[TotalWater_m3_tonCu]]*Table1[[#This Row],[Grade ore Cu%]]</f>
        <v>1.8033999999999999</v>
      </c>
    </row>
    <row r="48" spans="1:18" x14ac:dyDescent="0.3">
      <c r="A48">
        <v>47</v>
      </c>
      <c r="B48" t="s">
        <v>438</v>
      </c>
      <c r="C48" t="str">
        <f>+Lutter2025!A17</f>
        <v>Latin America &amp; Caribbean</v>
      </c>
      <c r="D48" t="str">
        <f>+Lutter2025!B17</f>
        <v>Cobre Panama</v>
      </c>
      <c r="E48" t="str">
        <f>VLOOKUP(Lutter2025!E17,Lutter2025!$A$46:$B$51,2,0)</f>
        <v>porphyry deposit</v>
      </c>
      <c r="F48" t="str">
        <f>+Lutter2025!D17</f>
        <v>Open Pit</v>
      </c>
      <c r="G48" t="str">
        <f>+VLOOKUP(Lutter2025!C17,Lutter2025!$A$54:$B$58,2,0)</f>
        <v>copper as main product</v>
      </c>
      <c r="H48" s="9">
        <v>4.6999999999999993E-3</v>
      </c>
      <c r="I48" t="s">
        <v>375</v>
      </c>
      <c r="J48">
        <f>+Lutter2025!H17</f>
        <v>826</v>
      </c>
      <c r="K48" t="s">
        <v>364</v>
      </c>
      <c r="L48" t="s">
        <v>365</v>
      </c>
      <c r="O48">
        <v>2</v>
      </c>
      <c r="P48" t="str">
        <f>+VLOOKUP(O48,References!$A$2:$F$29,2,0)</f>
        <v>Lutter et al. (2025)</v>
      </c>
      <c r="Q48" s="13">
        <f>+VLOOKUP(K48&amp;L48,Unit_Normalization!$A$2:$D$24,4,0)*J48</f>
        <v>826</v>
      </c>
      <c r="R48" s="14">
        <f>+Table1[[#This Row],[TotalWater_m3_tonCu]]*Table1[[#This Row],[Grade ore Cu%]]</f>
        <v>3.8821999999999997</v>
      </c>
    </row>
    <row r="49" spans="1:18" x14ac:dyDescent="0.3">
      <c r="A49">
        <v>48</v>
      </c>
      <c r="B49" t="s">
        <v>438</v>
      </c>
      <c r="C49" t="str">
        <f>+Lutter2025!A18</f>
        <v>Latin America &amp; Caribbean</v>
      </c>
      <c r="D49" t="str">
        <f>+Lutter2025!B18</f>
        <v>Escondida</v>
      </c>
      <c r="E49" t="str">
        <f>VLOOKUP(Lutter2025!E18,Lutter2025!$A$46:$B$51,2,0)</f>
        <v>porphyry deposit</v>
      </c>
      <c r="F49" t="str">
        <f>+Lutter2025!D18</f>
        <v>Open Pit</v>
      </c>
      <c r="G49" t="str">
        <f>+VLOOKUP(Lutter2025!C18,Lutter2025!$A$54:$B$58,2,0)</f>
        <v>copper as main product</v>
      </c>
      <c r="H49" s="9">
        <v>8.3320000000000009E-3</v>
      </c>
      <c r="I49" t="s">
        <v>375</v>
      </c>
      <c r="J49">
        <f>+Lutter2025!H18</f>
        <v>85</v>
      </c>
      <c r="K49" t="s">
        <v>364</v>
      </c>
      <c r="L49" t="s">
        <v>365</v>
      </c>
      <c r="O49">
        <v>2</v>
      </c>
      <c r="P49" t="str">
        <f>+VLOOKUP(O49,References!$A$2:$F$29,2,0)</f>
        <v>Lutter et al. (2025)</v>
      </c>
      <c r="Q49" s="13">
        <f>+VLOOKUP(K49&amp;L49,Unit_Normalization!$A$2:$D$24,4,0)*J49</f>
        <v>85</v>
      </c>
      <c r="R49" s="14">
        <f>+Table1[[#This Row],[TotalWater_m3_tonCu]]*Table1[[#This Row],[Grade ore Cu%]]</f>
        <v>0.70822000000000007</v>
      </c>
    </row>
    <row r="50" spans="1:18" x14ac:dyDescent="0.3">
      <c r="A50">
        <v>49</v>
      </c>
      <c r="B50" t="s">
        <v>438</v>
      </c>
      <c r="C50" t="str">
        <f>+Lutter2025!A19</f>
        <v>Latin America &amp; Caribbean</v>
      </c>
      <c r="D50" t="str">
        <f>+Lutter2025!B19</f>
        <v>El Teniente</v>
      </c>
      <c r="E50" t="str">
        <f>VLOOKUP(Lutter2025!E19,Lutter2025!$A$46:$B$51,2,0)</f>
        <v>porphyry deposit</v>
      </c>
      <c r="F50" t="str">
        <f>+Lutter2025!D19</f>
        <v>Combined</v>
      </c>
      <c r="G50" t="str">
        <f>+VLOOKUP(Lutter2025!C19,Lutter2025!$A$54:$B$58,2,0)</f>
        <v>copper as main product</v>
      </c>
      <c r="H50" s="9">
        <v>8.5000000000000006E-3</v>
      </c>
      <c r="I50" t="s">
        <v>375</v>
      </c>
      <c r="J50">
        <f>+Lutter2025!H19</f>
        <v>151</v>
      </c>
      <c r="K50" t="s">
        <v>364</v>
      </c>
      <c r="L50" t="s">
        <v>365</v>
      </c>
      <c r="O50">
        <v>2</v>
      </c>
      <c r="P50" t="str">
        <f>+VLOOKUP(O50,References!$A$2:$F$29,2,0)</f>
        <v>Lutter et al. (2025)</v>
      </c>
      <c r="Q50" s="13">
        <f>+VLOOKUP(K50&amp;L50,Unit_Normalization!$A$2:$D$24,4,0)*J50</f>
        <v>151</v>
      </c>
      <c r="R50" s="14">
        <f>+Table1[[#This Row],[TotalWater_m3_tonCu]]*Table1[[#This Row],[Grade ore Cu%]]</f>
        <v>1.2835000000000001</v>
      </c>
    </row>
    <row r="51" spans="1:18" x14ac:dyDescent="0.3">
      <c r="A51">
        <v>50</v>
      </c>
      <c r="B51" t="s">
        <v>438</v>
      </c>
      <c r="C51" t="str">
        <f>+Lutter2025!A20</f>
        <v>Latin America &amp; Caribbean</v>
      </c>
      <c r="D51" t="str">
        <f>+Lutter2025!B20</f>
        <v>Chuquicamata</v>
      </c>
      <c r="E51" t="str">
        <f>VLOOKUP(Lutter2025!E20,Lutter2025!$A$46:$B$51,2,0)</f>
        <v>porphyry deposit</v>
      </c>
      <c r="F51" t="str">
        <f>+Lutter2025!D20</f>
        <v>Open Pit</v>
      </c>
      <c r="G51" t="str">
        <f>+VLOOKUP(Lutter2025!C20,Lutter2025!$A$54:$B$58,2,0)</f>
        <v>copper as main product</v>
      </c>
      <c r="H51" s="9">
        <v>5.9250000000000006E-3</v>
      </c>
      <c r="I51" t="s">
        <v>375</v>
      </c>
      <c r="J51">
        <f>+Lutter2025!H20</f>
        <v>163</v>
      </c>
      <c r="K51" t="s">
        <v>364</v>
      </c>
      <c r="L51" t="s">
        <v>365</v>
      </c>
      <c r="O51">
        <v>2</v>
      </c>
      <c r="P51" t="str">
        <f>+VLOOKUP(O51,References!$A$2:$F$29,2,0)</f>
        <v>Lutter et al. (2025)</v>
      </c>
      <c r="Q51" s="13">
        <f>+VLOOKUP(K51&amp;L51,Unit_Normalization!$A$2:$D$24,4,0)*J51</f>
        <v>163</v>
      </c>
      <c r="R51" s="14">
        <f>+Table1[[#This Row],[TotalWater_m3_tonCu]]*Table1[[#This Row],[Grade ore Cu%]]</f>
        <v>0.96577500000000005</v>
      </c>
    </row>
    <row r="52" spans="1:18" x14ac:dyDescent="0.3">
      <c r="A52">
        <v>51</v>
      </c>
      <c r="B52" t="s">
        <v>438</v>
      </c>
      <c r="C52" t="str">
        <f>+Lutter2025!A21</f>
        <v>Latin America &amp; Caribbean</v>
      </c>
      <c r="D52" t="str">
        <f>+Lutter2025!B21</f>
        <v>Cerro Verde</v>
      </c>
      <c r="E52" t="str">
        <f>VLOOKUP(Lutter2025!E21,Lutter2025!$A$46:$B$51,2,0)</f>
        <v>porphyry deposit</v>
      </c>
      <c r="F52" t="str">
        <f>+Lutter2025!D21</f>
        <v>Open Pit</v>
      </c>
      <c r="G52" t="str">
        <f>+VLOOKUP(Lutter2025!C21,Lutter2025!$A$54:$B$58,2,0)</f>
        <v>copper as main product</v>
      </c>
      <c r="H52" s="9">
        <v>3.4000000000000002E-3</v>
      </c>
      <c r="I52" t="s">
        <v>375</v>
      </c>
      <c r="J52">
        <f>+Lutter2025!H21</f>
        <v>118</v>
      </c>
      <c r="K52" t="s">
        <v>364</v>
      </c>
      <c r="L52" t="s">
        <v>365</v>
      </c>
      <c r="O52">
        <v>2</v>
      </c>
      <c r="P52" t="str">
        <f>+VLOOKUP(O52,References!$A$2:$F$29,2,0)</f>
        <v>Lutter et al. (2025)</v>
      </c>
      <c r="Q52" s="13">
        <f>+VLOOKUP(K52&amp;L52,Unit_Normalization!$A$2:$D$24,4,0)*J52</f>
        <v>118</v>
      </c>
      <c r="R52" s="14">
        <f>+Table1[[#This Row],[TotalWater_m3_tonCu]]*Table1[[#This Row],[Grade ore Cu%]]</f>
        <v>0.4012</v>
      </c>
    </row>
    <row r="53" spans="1:18" x14ac:dyDescent="0.3">
      <c r="A53">
        <v>52</v>
      </c>
      <c r="B53" t="s">
        <v>438</v>
      </c>
      <c r="C53" t="str">
        <f>+Lutter2025!A22</f>
        <v>North America</v>
      </c>
      <c r="D53" t="str">
        <f>+Lutter2025!B22</f>
        <v>Morenci</v>
      </c>
      <c r="E53" t="str">
        <f>VLOOKUP(Lutter2025!E22,Lutter2025!$A$46:$B$51,2,0)</f>
        <v>porphyry deposit</v>
      </c>
      <c r="F53" t="str">
        <f>+Lutter2025!D22</f>
        <v>Open Pit</v>
      </c>
      <c r="G53" t="str">
        <f>+VLOOKUP(Lutter2025!C22,Lutter2025!$A$54:$B$58,2,0)</f>
        <v>copper as main product</v>
      </c>
      <c r="H53" s="9">
        <v>2.8000000000000004E-3</v>
      </c>
      <c r="I53" t="s">
        <v>375</v>
      </c>
      <c r="J53">
        <f>+Lutter2025!H22</f>
        <v>115</v>
      </c>
      <c r="K53" t="s">
        <v>364</v>
      </c>
      <c r="L53" t="s">
        <v>365</v>
      </c>
      <c r="O53">
        <v>2</v>
      </c>
      <c r="P53" t="str">
        <f>+VLOOKUP(O53,References!$A$2:$F$29,2,0)</f>
        <v>Lutter et al. (2025)</v>
      </c>
      <c r="Q53" s="13">
        <f>+VLOOKUP(K53&amp;L53,Unit_Normalization!$A$2:$D$24,4,0)*J53</f>
        <v>115</v>
      </c>
      <c r="R53" s="14">
        <f>+Table1[[#This Row],[TotalWater_m3_tonCu]]*Table1[[#This Row],[Grade ore Cu%]]</f>
        <v>0.32200000000000006</v>
      </c>
    </row>
    <row r="54" spans="1:18" x14ac:dyDescent="0.3">
      <c r="A54">
        <v>53</v>
      </c>
      <c r="B54" t="s">
        <v>438</v>
      </c>
      <c r="C54" t="str">
        <f>+Lutter2025!A23</f>
        <v>North America</v>
      </c>
      <c r="D54" t="str">
        <f>+Lutter2025!B23</f>
        <v>Kennecott</v>
      </c>
      <c r="E54" t="str">
        <f>VLOOKUP(Lutter2025!E23,Lutter2025!$A$46:$B$51,2,0)</f>
        <v>porphyry deposit</v>
      </c>
      <c r="F54" t="str">
        <f>+Lutter2025!D23</f>
        <v>Combined</v>
      </c>
      <c r="G54" t="str">
        <f>+VLOOKUP(Lutter2025!C23,Lutter2025!$A$54:$B$58,2,0)</f>
        <v>copper as main product</v>
      </c>
      <c r="H54" s="9">
        <v>3.0200000000000001E-2</v>
      </c>
      <c r="I54" t="s">
        <v>377</v>
      </c>
      <c r="J54">
        <f>+Lutter2025!H23</f>
        <v>123</v>
      </c>
      <c r="K54" t="s">
        <v>364</v>
      </c>
      <c r="L54" t="s">
        <v>365</v>
      </c>
      <c r="O54">
        <v>2</v>
      </c>
      <c r="P54" t="str">
        <f>+VLOOKUP(O54,References!$A$2:$F$29,2,0)</f>
        <v>Lutter et al. (2025)</v>
      </c>
      <c r="Q54" s="13">
        <f>+VLOOKUP(K54&amp;L54,Unit_Normalization!$A$2:$D$24,4,0)*J54</f>
        <v>123</v>
      </c>
      <c r="R54" s="14">
        <f>+Table1[[#This Row],[TotalWater_m3_tonCu]]*Table1[[#This Row],[Grade ore Cu%]]</f>
        <v>3.7146000000000003</v>
      </c>
    </row>
    <row r="55" spans="1:18" x14ac:dyDescent="0.3">
      <c r="A55">
        <v>54</v>
      </c>
      <c r="B55" t="s">
        <v>438</v>
      </c>
      <c r="C55" t="str">
        <f>+Lutter2025!A24</f>
        <v>North America</v>
      </c>
      <c r="D55" t="str">
        <f>+Lutter2025!B24</f>
        <v>Highland Valley</v>
      </c>
      <c r="E55" t="str">
        <f>VLOOKUP(Lutter2025!E24,Lutter2025!$A$46:$B$51,2,0)</f>
        <v>porphyry deposit</v>
      </c>
      <c r="F55" t="str">
        <f>+Lutter2025!D24</f>
        <v>Open Pit</v>
      </c>
      <c r="G55" t="str">
        <f>+VLOOKUP(Lutter2025!C24,Lutter2025!$A$54:$B$58,2,0)</f>
        <v>copper as main product</v>
      </c>
      <c r="H55" s="9">
        <v>3.0000000000000001E-3</v>
      </c>
      <c r="I55" t="s">
        <v>375</v>
      </c>
      <c r="J55">
        <f>+Lutter2025!H24</f>
        <v>161</v>
      </c>
      <c r="K55" t="s">
        <v>364</v>
      </c>
      <c r="L55" t="s">
        <v>365</v>
      </c>
      <c r="O55">
        <v>2</v>
      </c>
      <c r="P55" t="str">
        <f>+VLOOKUP(O55,References!$A$2:$F$29,2,0)</f>
        <v>Lutter et al. (2025)</v>
      </c>
      <c r="Q55" s="13">
        <f>+VLOOKUP(K55&amp;L55,Unit_Normalization!$A$2:$D$24,4,0)*J55</f>
        <v>161</v>
      </c>
      <c r="R55" s="14">
        <f>+Table1[[#This Row],[TotalWater_m3_tonCu]]*Table1[[#This Row],[Grade ore Cu%]]</f>
        <v>0.48299999999999998</v>
      </c>
    </row>
    <row r="56" spans="1:18" x14ac:dyDescent="0.3">
      <c r="A56">
        <v>55</v>
      </c>
      <c r="B56" t="s">
        <v>438</v>
      </c>
      <c r="C56" t="str">
        <f>+Lutter2025!A25</f>
        <v>North America</v>
      </c>
      <c r="D56" t="str">
        <f>+Lutter2025!B25</f>
        <v>Mission</v>
      </c>
      <c r="E56" t="str">
        <f>VLOOKUP(Lutter2025!E25,Lutter2025!$A$46:$B$51,2,0)</f>
        <v>porphyry deposit</v>
      </c>
      <c r="F56" t="str">
        <f>+Lutter2025!D25</f>
        <v>Combined</v>
      </c>
      <c r="G56" t="str">
        <f>+VLOOKUP(Lutter2025!C25,Lutter2025!$A$54:$B$58,2,0)</f>
        <v>copper as main product</v>
      </c>
      <c r="H56" s="9">
        <v>3.7799999999999999E-3</v>
      </c>
      <c r="I56" t="s">
        <v>375</v>
      </c>
      <c r="J56">
        <f>+Lutter2025!H25</f>
        <v>379</v>
      </c>
      <c r="K56" t="s">
        <v>364</v>
      </c>
      <c r="L56" t="s">
        <v>365</v>
      </c>
      <c r="O56">
        <v>2</v>
      </c>
      <c r="P56" t="str">
        <f>+VLOOKUP(O56,References!$A$2:$F$29,2,0)</f>
        <v>Lutter et al. (2025)</v>
      </c>
      <c r="Q56" s="13">
        <f>+VLOOKUP(K56&amp;L56,Unit_Normalization!$A$2:$D$24,4,0)*J56</f>
        <v>379</v>
      </c>
      <c r="R56" s="14">
        <f>+Table1[[#This Row],[TotalWater_m3_tonCu]]*Table1[[#This Row],[Grade ore Cu%]]</f>
        <v>1.43262</v>
      </c>
    </row>
    <row r="57" spans="1:18" x14ac:dyDescent="0.3">
      <c r="A57">
        <v>56</v>
      </c>
      <c r="B57" t="s">
        <v>438</v>
      </c>
      <c r="C57" t="str">
        <f>+Lutter2025!A26</f>
        <v>North America</v>
      </c>
      <c r="D57" t="str">
        <f>+Lutter2025!B26</f>
        <v>Bagdad</v>
      </c>
      <c r="E57" t="str">
        <f>VLOOKUP(Lutter2025!E26,Lutter2025!$A$46:$B$51,2,0)</f>
        <v>porphyry deposit</v>
      </c>
      <c r="F57" t="str">
        <f>+Lutter2025!D26</f>
        <v>Open Pit</v>
      </c>
      <c r="G57" t="str">
        <f>+VLOOKUP(Lutter2025!C26,Lutter2025!$A$54:$B$58,2,0)</f>
        <v>copper as main product</v>
      </c>
      <c r="H57" s="9">
        <v>3.0620000000000005E-3</v>
      </c>
      <c r="I57" t="s">
        <v>375</v>
      </c>
      <c r="J57">
        <f>+Lutter2025!H26</f>
        <v>152</v>
      </c>
      <c r="K57" t="s">
        <v>364</v>
      </c>
      <c r="L57" t="s">
        <v>365</v>
      </c>
      <c r="O57">
        <v>2</v>
      </c>
      <c r="P57" t="str">
        <f>+VLOOKUP(O57,References!$A$2:$F$29,2,0)</f>
        <v>Lutter et al. (2025)</v>
      </c>
      <c r="Q57" s="13">
        <f>+VLOOKUP(K57&amp;L57,Unit_Normalization!$A$2:$D$24,4,0)*J57</f>
        <v>152</v>
      </c>
      <c r="R57" s="14">
        <f>+Table1[[#This Row],[TotalWater_m3_tonCu]]*Table1[[#This Row],[Grade ore Cu%]]</f>
        <v>0.46542400000000006</v>
      </c>
    </row>
    <row r="58" spans="1:18" x14ac:dyDescent="0.3">
      <c r="A58">
        <v>57</v>
      </c>
      <c r="B58" t="s">
        <v>438</v>
      </c>
      <c r="C58" t="str">
        <f>+Lutter2025!A27</f>
        <v>Oceania</v>
      </c>
      <c r="D58" t="str">
        <f>+Lutter2025!B27</f>
        <v>Boddington</v>
      </c>
      <c r="E58" t="str">
        <f>VLOOKUP(Lutter2025!E27,Lutter2025!$A$46:$B$51,2,0)</f>
        <v>other type of deposit</v>
      </c>
      <c r="F58" t="str">
        <f>+Lutter2025!D27</f>
        <v>Combined</v>
      </c>
      <c r="G58" t="str">
        <f>+VLOOKUP(Lutter2025!C27,Lutter2025!$A$54:$B$58,2,0)</f>
        <v>copper as by-product</v>
      </c>
      <c r="H58" s="9">
        <v>1.1999999999999999E-3</v>
      </c>
      <c r="I58" t="s">
        <v>378</v>
      </c>
      <c r="J58">
        <f>+Lutter2025!H27</f>
        <v>750</v>
      </c>
      <c r="K58" t="s">
        <v>364</v>
      </c>
      <c r="L58" t="s">
        <v>365</v>
      </c>
      <c r="O58">
        <v>2</v>
      </c>
      <c r="P58" t="str">
        <f>+VLOOKUP(O58,References!$A$2:$F$29,2,0)</f>
        <v>Lutter et al. (2025)</v>
      </c>
      <c r="Q58" s="13">
        <f>+VLOOKUP(K58&amp;L58,Unit_Normalization!$A$2:$D$24,4,0)*J58</f>
        <v>750</v>
      </c>
      <c r="R58" s="14">
        <f>+Table1[[#This Row],[TotalWater_m3_tonCu]]*Table1[[#This Row],[Grade ore Cu%]]</f>
        <v>0.89999999999999991</v>
      </c>
    </row>
    <row r="59" spans="1:18" x14ac:dyDescent="0.3">
      <c r="A59">
        <v>58</v>
      </c>
      <c r="B59" t="s">
        <v>438</v>
      </c>
      <c r="C59" t="str">
        <f>+Lutter2025!A28</f>
        <v>Oceania</v>
      </c>
      <c r="D59" t="str">
        <f>+Lutter2025!B28</f>
        <v>Telfer</v>
      </c>
      <c r="E59" t="str">
        <f>VLOOKUP(Lutter2025!E28,Lutter2025!$A$46:$B$51,2,0)</f>
        <v>other type of deposit</v>
      </c>
      <c r="F59" t="str">
        <f>+Lutter2025!D28</f>
        <v>Combined</v>
      </c>
      <c r="G59" t="str">
        <f>+VLOOKUP(Lutter2025!C28,Lutter2025!$A$54:$B$58,2,0)</f>
        <v>copper as by-product</v>
      </c>
      <c r="H59" s="9">
        <v>1.6989831590000001E-2</v>
      </c>
      <c r="I59" t="s">
        <v>375</v>
      </c>
      <c r="J59">
        <f>+Lutter2025!H28</f>
        <v>1181</v>
      </c>
      <c r="K59" t="s">
        <v>364</v>
      </c>
      <c r="L59" t="s">
        <v>365</v>
      </c>
      <c r="O59">
        <v>2</v>
      </c>
      <c r="P59" t="str">
        <f>+VLOOKUP(O59,References!$A$2:$F$29,2,0)</f>
        <v>Lutter et al. (2025)</v>
      </c>
      <c r="Q59" s="13">
        <f>+VLOOKUP(K59&amp;L59,Unit_Normalization!$A$2:$D$24,4,0)*J59</f>
        <v>1181</v>
      </c>
      <c r="R59" s="14">
        <f>+Table1[[#This Row],[TotalWater_m3_tonCu]]*Table1[[#This Row],[Grade ore Cu%]]</f>
        <v>20.06499110779</v>
      </c>
    </row>
    <row r="60" spans="1:18" x14ac:dyDescent="0.3">
      <c r="A60">
        <v>59</v>
      </c>
      <c r="B60" t="s">
        <v>438</v>
      </c>
      <c r="C60" t="str">
        <f>+Lutter2025!A29</f>
        <v>Oceania</v>
      </c>
      <c r="D60" t="str">
        <f>+Lutter2025!B29</f>
        <v>Mt Isa Copper</v>
      </c>
      <c r="E60" t="str">
        <f>VLOOKUP(Lutter2025!E29,Lutter2025!$A$46:$B$51,2,0)</f>
        <v>sediment hosted</v>
      </c>
      <c r="F60" t="str">
        <f>+Lutter2025!D29</f>
        <v>Combined</v>
      </c>
      <c r="G60" t="str">
        <f>+VLOOKUP(Lutter2025!C29,Lutter2025!$A$54:$B$58,2,0)</f>
        <v>copper as main product</v>
      </c>
      <c r="H60" s="9">
        <v>1.8000000000000002E-2</v>
      </c>
      <c r="I60" t="s">
        <v>375</v>
      </c>
      <c r="J60">
        <f>+Lutter2025!H29</f>
        <v>61</v>
      </c>
      <c r="K60" t="s">
        <v>364</v>
      </c>
      <c r="L60" t="s">
        <v>365</v>
      </c>
      <c r="O60">
        <v>2</v>
      </c>
      <c r="P60" t="str">
        <f>+VLOOKUP(O60,References!$A$2:$F$29,2,0)</f>
        <v>Lutter et al. (2025)</v>
      </c>
      <c r="Q60" s="13">
        <f>+VLOOKUP(K60&amp;L60,Unit_Normalization!$A$2:$D$24,4,0)*J60</f>
        <v>61</v>
      </c>
      <c r="R60" s="14">
        <f>+Table1[[#This Row],[TotalWater_m3_tonCu]]*Table1[[#This Row],[Grade ore Cu%]]</f>
        <v>1.0980000000000001</v>
      </c>
    </row>
    <row r="61" spans="1:18" x14ac:dyDescent="0.3">
      <c r="A61">
        <v>60</v>
      </c>
      <c r="B61" t="s">
        <v>438</v>
      </c>
      <c r="C61" t="str">
        <f>+Lutter2025!A30</f>
        <v>Oceania</v>
      </c>
      <c r="D61" t="str">
        <f>+Lutter2025!B30</f>
        <v>Cadia East</v>
      </c>
      <c r="E61" t="str">
        <f>VLOOKUP(Lutter2025!E30,Lutter2025!$A$46:$B$51,2,0)</f>
        <v>porphyry deposit</v>
      </c>
      <c r="F61" t="str">
        <f>+Lutter2025!D30</f>
        <v>Combined</v>
      </c>
      <c r="G61" t="str">
        <f>+VLOOKUP(Lutter2025!C30,Lutter2025!$A$54:$B$58,2,0)</f>
        <v>copper as by-product</v>
      </c>
      <c r="H61" s="9">
        <v>2.3E-3</v>
      </c>
      <c r="I61" t="s">
        <v>379</v>
      </c>
      <c r="J61">
        <f>+Lutter2025!H30</f>
        <v>148</v>
      </c>
      <c r="K61" t="s">
        <v>364</v>
      </c>
      <c r="L61" t="s">
        <v>365</v>
      </c>
      <c r="O61">
        <v>2</v>
      </c>
      <c r="P61" t="str">
        <f>+VLOOKUP(O61,References!$A$2:$F$29,2,0)</f>
        <v>Lutter et al. (2025)</v>
      </c>
      <c r="Q61" s="13">
        <f>+VLOOKUP(K61&amp;L61,Unit_Normalization!$A$2:$D$24,4,0)*J61</f>
        <v>148</v>
      </c>
      <c r="R61" s="14">
        <f>+Table1[[#This Row],[TotalWater_m3_tonCu]]*Table1[[#This Row],[Grade ore Cu%]]</f>
        <v>0.34039999999999998</v>
      </c>
    </row>
    <row r="62" spans="1:18" x14ac:dyDescent="0.3">
      <c r="A62">
        <v>61</v>
      </c>
      <c r="B62" t="s">
        <v>438</v>
      </c>
      <c r="C62" t="str">
        <f>+Lutter2025!A31</f>
        <v>Oceania</v>
      </c>
      <c r="D62" t="str">
        <f>+Lutter2025!B31</f>
        <v>Ok Tedi</v>
      </c>
      <c r="E62" t="str">
        <f>VLOOKUP(Lutter2025!E31,Lutter2025!$A$46:$B$51,2,0)</f>
        <v>porphyry deposit</v>
      </c>
      <c r="F62" t="str">
        <f>+Lutter2025!D31</f>
        <v>Combined</v>
      </c>
      <c r="G62" t="str">
        <f>+VLOOKUP(Lutter2025!C31,Lutter2025!$A$54:$B$58,2,0)</f>
        <v>copper as main product</v>
      </c>
      <c r="H62" s="9">
        <v>7.5399999999999998E-3</v>
      </c>
      <c r="I62" t="s">
        <v>375</v>
      </c>
      <c r="J62">
        <f>+Lutter2025!H31</f>
        <v>119</v>
      </c>
      <c r="K62" t="s">
        <v>364</v>
      </c>
      <c r="L62" t="s">
        <v>365</v>
      </c>
      <c r="O62">
        <v>2</v>
      </c>
      <c r="P62" t="str">
        <f>+VLOOKUP(O62,References!$A$2:$F$29,2,0)</f>
        <v>Lutter et al. (2025)</v>
      </c>
      <c r="Q62" s="13">
        <f>+VLOOKUP(K62&amp;L62,Unit_Normalization!$A$2:$D$24,4,0)*J62</f>
        <v>119</v>
      </c>
      <c r="R62" s="14">
        <f>+Table1[[#This Row],[TotalWater_m3_tonCu]]*Table1[[#This Row],[Grade ore Cu%]]</f>
        <v>0.89725999999999995</v>
      </c>
    </row>
    <row r="63" spans="1:18" x14ac:dyDescent="0.3">
      <c r="A63">
        <v>62</v>
      </c>
      <c r="B63" t="s">
        <v>438</v>
      </c>
      <c r="C63" t="str">
        <f>+Lutter2025!A32</f>
        <v>South &amp; west Asia</v>
      </c>
      <c r="D63" t="str">
        <f>+Lutter2025!B32</f>
        <v>Sarcheshmeh</v>
      </c>
      <c r="E63" t="str">
        <f>VLOOKUP(Lutter2025!E32,Lutter2025!$A$46:$B$51,2,0)</f>
        <v>porphyry deposit</v>
      </c>
      <c r="F63" t="str">
        <f>+Lutter2025!D32</f>
        <v>Open Pit</v>
      </c>
      <c r="G63" t="str">
        <f>+VLOOKUP(Lutter2025!C32,Lutter2025!$A$54:$B$58,2,0)</f>
        <v>copper as main product</v>
      </c>
      <c r="H63" s="9">
        <v>7.0209999999999995E-3</v>
      </c>
      <c r="I63" t="s">
        <v>375</v>
      </c>
      <c r="J63">
        <f>+Lutter2025!H32</f>
        <v>172</v>
      </c>
      <c r="K63" t="s">
        <v>364</v>
      </c>
      <c r="L63" t="s">
        <v>365</v>
      </c>
      <c r="O63">
        <v>2</v>
      </c>
      <c r="P63" t="str">
        <f>+VLOOKUP(O63,References!$A$2:$F$29,2,0)</f>
        <v>Lutter et al. (2025)</v>
      </c>
      <c r="Q63" s="13">
        <f>+VLOOKUP(K63&amp;L63,Unit_Normalization!$A$2:$D$24,4,0)*J63</f>
        <v>172</v>
      </c>
      <c r="R63" s="14">
        <f>+Table1[[#This Row],[TotalWater_m3_tonCu]]*Table1[[#This Row],[Grade ore Cu%]]</f>
        <v>1.2076119999999999</v>
      </c>
    </row>
    <row r="64" spans="1:18" x14ac:dyDescent="0.3">
      <c r="A64">
        <v>63</v>
      </c>
      <c r="B64" t="s">
        <v>438</v>
      </c>
      <c r="C64" t="str">
        <f>+Lutter2025!A33</f>
        <v>South &amp; west Asia</v>
      </c>
      <c r="D64" t="str">
        <f>+Lutter2025!B33</f>
        <v>Sungun</v>
      </c>
      <c r="E64" t="str">
        <f>VLOOKUP(Lutter2025!E33,Lutter2025!$A$46:$B$51,2,0)</f>
        <v>porphyry deposit</v>
      </c>
      <c r="F64" t="str">
        <f>+Lutter2025!D33</f>
        <v>Open Pit</v>
      </c>
      <c r="G64" t="str">
        <f>+VLOOKUP(Lutter2025!C33,Lutter2025!$A$54:$B$58,2,0)</f>
        <v>copper as main product</v>
      </c>
      <c r="H64" s="9">
        <v>7.7104583900000001E-3</v>
      </c>
      <c r="I64" t="s">
        <v>375</v>
      </c>
      <c r="J64">
        <f>+Lutter2025!H33</f>
        <v>149</v>
      </c>
      <c r="K64" t="s">
        <v>364</v>
      </c>
      <c r="L64" t="s">
        <v>365</v>
      </c>
      <c r="O64">
        <v>2</v>
      </c>
      <c r="P64" t="str">
        <f>+VLOOKUP(O64,References!$A$2:$F$29,2,0)</f>
        <v>Lutter et al. (2025)</v>
      </c>
      <c r="Q64" s="13">
        <f>+VLOOKUP(K64&amp;L64,Unit_Normalization!$A$2:$D$24,4,0)*J64</f>
        <v>149</v>
      </c>
      <c r="R64" s="14">
        <f>+Table1[[#This Row],[TotalWater_m3_tonCu]]*Table1[[#This Row],[Grade ore Cu%]]</f>
        <v>1.1488583001100001</v>
      </c>
    </row>
    <row r="65" spans="1:18" x14ac:dyDescent="0.3">
      <c r="A65">
        <v>64</v>
      </c>
      <c r="B65" t="s">
        <v>438</v>
      </c>
      <c r="C65" t="str">
        <f>+Lutter2025!A34</f>
        <v>South &amp; west Asia</v>
      </c>
      <c r="D65" t="str">
        <f>+Lutter2025!B34</f>
        <v>Jabal Sayid</v>
      </c>
      <c r="E65" t="str">
        <f>VLOOKUP(Lutter2025!E34,Lutter2025!$A$46:$B$51,2,0)</f>
        <v>volcanogenic massive sulfide deposit</v>
      </c>
      <c r="F65" t="str">
        <f>+Lutter2025!D34</f>
        <v>Combined</v>
      </c>
      <c r="G65" t="str">
        <f>+VLOOKUP(Lutter2025!C34,Lutter2025!$A$54:$B$58,2,0)</f>
        <v>copper as main product</v>
      </c>
      <c r="H65" s="9">
        <v>2.4799999999999999E-2</v>
      </c>
      <c r="I65" t="s">
        <v>375</v>
      </c>
      <c r="J65">
        <f>+Lutter2025!H34</f>
        <v>90</v>
      </c>
      <c r="K65" t="s">
        <v>364</v>
      </c>
      <c r="L65" t="s">
        <v>365</v>
      </c>
      <c r="O65">
        <v>2</v>
      </c>
      <c r="P65" t="str">
        <f>+VLOOKUP(O65,References!$A$2:$F$29,2,0)</f>
        <v>Lutter et al. (2025)</v>
      </c>
      <c r="Q65" s="13">
        <f>+VLOOKUP(K65&amp;L65,Unit_Normalization!$A$2:$D$24,4,0)*J65</f>
        <v>90</v>
      </c>
      <c r="R65" s="14">
        <f>+Table1[[#This Row],[TotalWater_m3_tonCu]]*Table1[[#This Row],[Grade ore Cu%]]</f>
        <v>2.2319999999999998</v>
      </c>
    </row>
    <row r="66" spans="1:18" x14ac:dyDescent="0.3">
      <c r="A66">
        <v>65</v>
      </c>
      <c r="B66" t="s">
        <v>438</v>
      </c>
      <c r="C66" t="str">
        <f>+Lutter2025!A35</f>
        <v>South &amp; west Asia</v>
      </c>
      <c r="D66" t="str">
        <f>+Lutter2025!B35</f>
        <v>Malanjkhand</v>
      </c>
      <c r="E66" t="str">
        <f>VLOOKUP(Lutter2025!E35,Lutter2025!$A$46:$B$51,2,0)</f>
        <v>porphyry deposit</v>
      </c>
      <c r="F66" t="str">
        <f>+Lutter2025!D35</f>
        <v>Combined</v>
      </c>
      <c r="G66" t="e">
        <f>+VLOOKUP(Lutter2025!C35,Lutter2025!$A$54:$B$58,2,0)</f>
        <v>#N/A</v>
      </c>
      <c r="H66" s="9">
        <v>1.1122390520000001E-2</v>
      </c>
      <c r="I66" t="s">
        <v>375</v>
      </c>
      <c r="J66">
        <f>+Lutter2025!H35</f>
        <v>71</v>
      </c>
      <c r="K66" t="s">
        <v>364</v>
      </c>
      <c r="L66" t="s">
        <v>365</v>
      </c>
      <c r="O66">
        <v>2</v>
      </c>
      <c r="P66" t="str">
        <f>+VLOOKUP(O66,References!$A$2:$F$29,2,0)</f>
        <v>Lutter et al. (2025)</v>
      </c>
      <c r="Q66" s="13">
        <f>+VLOOKUP(K66&amp;L66,Unit_Normalization!$A$2:$D$24,4,0)*J66</f>
        <v>71</v>
      </c>
      <c r="R66" s="14">
        <f>+Table1[[#This Row],[TotalWater_m3_tonCu]]*Table1[[#This Row],[Grade ore Cu%]]</f>
        <v>0.78968972692000006</v>
      </c>
    </row>
    <row r="67" spans="1:18" x14ac:dyDescent="0.3">
      <c r="A67">
        <v>66</v>
      </c>
      <c r="B67" t="s">
        <v>438</v>
      </c>
      <c r="C67" t="str">
        <f>+Lutter2025!A36</f>
        <v>South &amp; west Asia</v>
      </c>
      <c r="D67" t="str">
        <f>+Lutter2025!B36</f>
        <v>Saindak</v>
      </c>
      <c r="E67" t="str">
        <f>VLOOKUP(Lutter2025!E36,Lutter2025!$A$46:$B$51,2,0)</f>
        <v>porphyry deposit</v>
      </c>
      <c r="F67" t="str">
        <f>+Lutter2025!D36</f>
        <v>Open Pit</v>
      </c>
      <c r="G67" t="str">
        <f>+VLOOKUP(Lutter2025!C36,Lutter2025!$A$54:$B$58,2,0)</f>
        <v>copper as main product</v>
      </c>
      <c r="H67" s="9">
        <v>1.579971786E-2</v>
      </c>
      <c r="I67" t="s">
        <v>375</v>
      </c>
      <c r="J67">
        <f>+Lutter2025!H36</f>
        <v>160</v>
      </c>
      <c r="K67" t="s">
        <v>364</v>
      </c>
      <c r="L67" t="s">
        <v>365</v>
      </c>
      <c r="O67">
        <v>2</v>
      </c>
      <c r="P67" t="str">
        <f>+VLOOKUP(O67,References!$A$2:$F$29,2,0)</f>
        <v>Lutter et al. (2025)</v>
      </c>
      <c r="Q67" s="13">
        <f>+VLOOKUP(K67&amp;L67,Unit_Normalization!$A$2:$D$24,4,0)*J67</f>
        <v>160</v>
      </c>
      <c r="R67" s="14">
        <f>+Table1[[#This Row],[TotalWater_m3_tonCu]]*Table1[[#This Row],[Grade ore Cu%]]</f>
        <v>2.5279548576000002</v>
      </c>
    </row>
    <row r="68" spans="1:18" x14ac:dyDescent="0.3">
      <c r="A68">
        <v>67</v>
      </c>
      <c r="B68" t="s">
        <v>438</v>
      </c>
      <c r="C68" t="s">
        <v>246</v>
      </c>
      <c r="F68" t="s">
        <v>299</v>
      </c>
      <c r="G68" t="s">
        <v>392</v>
      </c>
      <c r="H68" s="9">
        <v>5.4000000000000003E-3</v>
      </c>
      <c r="I68" t="s">
        <v>393</v>
      </c>
      <c r="J68">
        <v>1110.1400000000001</v>
      </c>
      <c r="K68" t="s">
        <v>390</v>
      </c>
      <c r="L68" t="s">
        <v>391</v>
      </c>
      <c r="O68">
        <v>3</v>
      </c>
      <c r="P68" t="str">
        <f>+VLOOKUP(O68,References!$A$2:$F$29,2,0)</f>
        <v>Islam et al. (2020)</v>
      </c>
      <c r="Q68" s="13">
        <f>+VLOOKUP(K68&amp;L68,Unit_Normalization!$A$2:$D$24,4,0)*J68</f>
        <v>1110.1400000000001</v>
      </c>
      <c r="R68" s="14">
        <f>+Table1[[#This Row],[TotalWater_m3_tonCu]]*Table1[[#This Row],[Grade ore Cu%]]</f>
        <v>5.9947560000000006</v>
      </c>
    </row>
    <row r="69" spans="1:18" x14ac:dyDescent="0.3">
      <c r="A69">
        <v>68</v>
      </c>
      <c r="B69" t="s">
        <v>438</v>
      </c>
      <c r="C69" t="s">
        <v>156</v>
      </c>
      <c r="D69" t="str">
        <f>+'Pena 2014'!B3</f>
        <v>Cerro Colorado</v>
      </c>
      <c r="E69" t="s">
        <v>398</v>
      </c>
      <c r="F69" t="s">
        <v>299</v>
      </c>
      <c r="H69" s="9">
        <f>+'Pena 2014'!F3/100</f>
        <v>6.8000000000000005E-3</v>
      </c>
      <c r="I69">
        <v>4</v>
      </c>
      <c r="J69">
        <f>+'Pena 2014'!G3</f>
        <v>43.9</v>
      </c>
      <c r="K69" t="s">
        <v>390</v>
      </c>
      <c r="L69" t="s">
        <v>391</v>
      </c>
      <c r="N69" t="s">
        <v>399</v>
      </c>
      <c r="O69">
        <v>4</v>
      </c>
      <c r="P69" t="str">
        <f>+VLOOKUP(O69,References!$A$2:$F$29,2,0)</f>
        <v>Peña et al. (2014)</v>
      </c>
      <c r="Q69" s="13">
        <f>+VLOOKUP(K69&amp;L69,Unit_Normalization!$A$2:$D$24,4,0)*J69</f>
        <v>43.9</v>
      </c>
      <c r="R69" s="14">
        <f>+Table1[[#This Row],[TotalWater_m3_tonCu]]*Table1[[#This Row],[Grade ore Cu%]]</f>
        <v>0.29852000000000001</v>
      </c>
    </row>
    <row r="70" spans="1:18" x14ac:dyDescent="0.3">
      <c r="A70">
        <v>69</v>
      </c>
      <c r="B70" t="s">
        <v>438</v>
      </c>
      <c r="C70" t="s">
        <v>156</v>
      </c>
      <c r="D70" t="str">
        <f>+'Pena 2014'!B4</f>
        <v>Quebrada Blanca</v>
      </c>
      <c r="E70" t="s">
        <v>398</v>
      </c>
      <c r="F70" t="s">
        <v>299</v>
      </c>
      <c r="H70" s="9">
        <f>+'Pena 2014'!F4/100</f>
        <v>9.0000000000000011E-3</v>
      </c>
      <c r="I70">
        <v>4</v>
      </c>
      <c r="J70">
        <f>+'Pena 2014'!G4</f>
        <v>21.6</v>
      </c>
      <c r="K70" t="s">
        <v>390</v>
      </c>
      <c r="L70" t="s">
        <v>391</v>
      </c>
      <c r="N70" t="s">
        <v>399</v>
      </c>
      <c r="O70">
        <v>4</v>
      </c>
      <c r="P70" t="str">
        <f>+VLOOKUP(O70,References!$A$2:$F$29,2,0)</f>
        <v>Peña et al. (2014)</v>
      </c>
      <c r="Q70" s="13">
        <f>+VLOOKUP(K70&amp;L70,Unit_Normalization!$A$2:$D$24,4,0)*J70</f>
        <v>21.6</v>
      </c>
      <c r="R70" s="14">
        <f>+Table1[[#This Row],[TotalWater_m3_tonCu]]*Table1[[#This Row],[Grade ore Cu%]]</f>
        <v>0.19440000000000004</v>
      </c>
    </row>
    <row r="71" spans="1:18" x14ac:dyDescent="0.3">
      <c r="A71">
        <v>70</v>
      </c>
      <c r="B71" t="s">
        <v>438</v>
      </c>
      <c r="C71" t="s">
        <v>156</v>
      </c>
      <c r="D71" t="str">
        <f>+'Pena 2014'!B5</f>
        <v>Inés de Collahuasi</v>
      </c>
      <c r="E71" t="s">
        <v>398</v>
      </c>
      <c r="F71" t="s">
        <v>299</v>
      </c>
      <c r="H71" s="9">
        <f>+'Pena 2014'!F5/100</f>
        <v>9.0000000000000011E-3</v>
      </c>
      <c r="I71">
        <v>4</v>
      </c>
      <c r="J71">
        <f>+'Pena 2014'!G5</f>
        <v>13.3</v>
      </c>
      <c r="K71" t="s">
        <v>390</v>
      </c>
      <c r="L71" t="s">
        <v>391</v>
      </c>
      <c r="N71" t="s">
        <v>399</v>
      </c>
      <c r="O71">
        <v>4</v>
      </c>
      <c r="P71" t="str">
        <f>+VLOOKUP(O71,References!$A$2:$F$29,2,0)</f>
        <v>Peña et al. (2014)</v>
      </c>
      <c r="Q71" s="13">
        <f>+VLOOKUP(K71&amp;L71,Unit_Normalization!$A$2:$D$24,4,0)*J71</f>
        <v>13.3</v>
      </c>
      <c r="R71" s="14">
        <f>+Table1[[#This Row],[TotalWater_m3_tonCu]]*Table1[[#This Row],[Grade ore Cu%]]</f>
        <v>0.11970000000000001</v>
      </c>
    </row>
    <row r="72" spans="1:18" x14ac:dyDescent="0.3">
      <c r="A72">
        <v>71</v>
      </c>
      <c r="B72" t="s">
        <v>438</v>
      </c>
      <c r="C72" t="s">
        <v>156</v>
      </c>
      <c r="D72" t="str">
        <f>+'Pena 2014'!B6</f>
        <v>El Abra</v>
      </c>
      <c r="E72" t="s">
        <v>398</v>
      </c>
      <c r="F72" t="s">
        <v>299</v>
      </c>
      <c r="H72" s="9">
        <f>+'Pena 2014'!F6/100</f>
        <v>4.6999999999999993E-3</v>
      </c>
      <c r="I72">
        <v>4</v>
      </c>
      <c r="J72">
        <f>+'Pena 2014'!G6</f>
        <v>34.9</v>
      </c>
      <c r="K72" t="s">
        <v>390</v>
      </c>
      <c r="L72" t="s">
        <v>391</v>
      </c>
      <c r="N72" t="s">
        <v>399</v>
      </c>
      <c r="O72">
        <v>4</v>
      </c>
      <c r="P72" t="str">
        <f>+VLOOKUP(O72,References!$A$2:$F$29,2,0)</f>
        <v>Peña et al. (2014)</v>
      </c>
      <c r="Q72" s="13">
        <f>+VLOOKUP(K72&amp;L72,Unit_Normalization!$A$2:$D$24,4,0)*J72</f>
        <v>34.9</v>
      </c>
      <c r="R72" s="14">
        <f>+Table1[[#This Row],[TotalWater_m3_tonCu]]*Table1[[#This Row],[Grade ore Cu%]]</f>
        <v>0.16402999999999998</v>
      </c>
    </row>
    <row r="73" spans="1:18" x14ac:dyDescent="0.3">
      <c r="A73">
        <v>72</v>
      </c>
      <c r="B73" t="s">
        <v>438</v>
      </c>
      <c r="C73" t="s">
        <v>156</v>
      </c>
      <c r="D73" t="str">
        <f>+'Pena 2014'!B7</f>
        <v>Codelco Norte</v>
      </c>
      <c r="E73" t="s">
        <v>398</v>
      </c>
      <c r="F73" t="s">
        <v>299</v>
      </c>
      <c r="H73" s="9">
        <f>+'Pena 2014'!F7/100</f>
        <v>8.0000000000000002E-3</v>
      </c>
      <c r="I73">
        <v>4</v>
      </c>
      <c r="J73">
        <f>+'Pena 2014'!G7</f>
        <v>30.4</v>
      </c>
      <c r="K73" t="s">
        <v>390</v>
      </c>
      <c r="L73" t="s">
        <v>391</v>
      </c>
      <c r="N73" t="s">
        <v>399</v>
      </c>
      <c r="O73">
        <v>4</v>
      </c>
      <c r="P73" t="str">
        <f>+VLOOKUP(O73,References!$A$2:$F$29,2,0)</f>
        <v>Peña et al. (2014)</v>
      </c>
      <c r="Q73" s="13">
        <f>+VLOOKUP(K73&amp;L73,Unit_Normalization!$A$2:$D$24,4,0)*J73</f>
        <v>30.4</v>
      </c>
      <c r="R73" s="14">
        <f>+Table1[[#This Row],[TotalWater_m3_tonCu]]*Table1[[#This Row],[Grade ore Cu%]]</f>
        <v>0.2432</v>
      </c>
    </row>
    <row r="74" spans="1:18" x14ac:dyDescent="0.3">
      <c r="A74">
        <v>73</v>
      </c>
      <c r="B74" t="s">
        <v>438</v>
      </c>
      <c r="C74" t="s">
        <v>156</v>
      </c>
      <c r="D74" t="str">
        <f>+'Pena 2014'!B8</f>
        <v>S ence</v>
      </c>
      <c r="E74" t="s">
        <v>398</v>
      </c>
      <c r="F74" t="s">
        <v>299</v>
      </c>
      <c r="H74" s="9">
        <f>+'Pena 2014'!F8/100</f>
        <v>1.3999999999999999E-2</v>
      </c>
      <c r="I74">
        <v>4</v>
      </c>
      <c r="J74">
        <f>+'Pena 2014'!G8</f>
        <v>13.9</v>
      </c>
      <c r="K74" t="s">
        <v>390</v>
      </c>
      <c r="L74" t="s">
        <v>391</v>
      </c>
      <c r="N74" t="s">
        <v>399</v>
      </c>
      <c r="O74">
        <v>4</v>
      </c>
      <c r="P74" t="str">
        <f>+VLOOKUP(O74,References!$A$2:$F$29,2,0)</f>
        <v>Peña et al. (2014)</v>
      </c>
      <c r="Q74" s="13">
        <f>+VLOOKUP(K74&amp;L74,Unit_Normalization!$A$2:$D$24,4,0)*J74</f>
        <v>13.9</v>
      </c>
      <c r="R74" s="14">
        <f>+Table1[[#This Row],[TotalWater_m3_tonCu]]*Table1[[#This Row],[Grade ore Cu%]]</f>
        <v>0.1946</v>
      </c>
    </row>
    <row r="75" spans="1:18" x14ac:dyDescent="0.3">
      <c r="A75">
        <v>74</v>
      </c>
      <c r="B75" t="s">
        <v>438</v>
      </c>
      <c r="C75" t="s">
        <v>156</v>
      </c>
      <c r="D75" t="str">
        <f>+'Pena 2014'!B9</f>
        <v>El Tesoro</v>
      </c>
      <c r="E75" t="s">
        <v>398</v>
      </c>
      <c r="F75" t="s">
        <v>299</v>
      </c>
      <c r="H75" s="9">
        <f>+'Pena 2014'!F9/100</f>
        <v>9.0000000000000011E-3</v>
      </c>
      <c r="I75">
        <v>4</v>
      </c>
      <c r="J75">
        <f>+'Pena 2014'!G9</f>
        <v>43.1</v>
      </c>
      <c r="K75" t="s">
        <v>390</v>
      </c>
      <c r="L75" t="s">
        <v>391</v>
      </c>
      <c r="N75" t="s">
        <v>399</v>
      </c>
      <c r="O75">
        <v>4</v>
      </c>
      <c r="P75" t="str">
        <f>+VLOOKUP(O75,References!$A$2:$F$29,2,0)</f>
        <v>Peña et al. (2014)</v>
      </c>
      <c r="Q75" s="13">
        <f>+VLOOKUP(K75&amp;L75,Unit_Normalization!$A$2:$D$24,4,0)*J75</f>
        <v>43.1</v>
      </c>
      <c r="R75" s="14">
        <f>+Table1[[#This Row],[TotalWater_m3_tonCu]]*Table1[[#This Row],[Grade ore Cu%]]</f>
        <v>0.38790000000000008</v>
      </c>
    </row>
    <row r="76" spans="1:18" x14ac:dyDescent="0.3">
      <c r="A76">
        <v>75</v>
      </c>
      <c r="B76" t="s">
        <v>438</v>
      </c>
      <c r="C76" t="s">
        <v>156</v>
      </c>
      <c r="D76" t="str">
        <f>+'Pena 2014'!B10</f>
        <v>Codelco Gabi</v>
      </c>
      <c r="E76" t="s">
        <v>398</v>
      </c>
      <c r="F76" t="s">
        <v>299</v>
      </c>
      <c r="H76" s="9">
        <f>+'Pena 2014'!F10/100</f>
        <v>4.0999999999999995E-3</v>
      </c>
      <c r="I76">
        <v>4</v>
      </c>
      <c r="J76">
        <f>+'Pena 2014'!G10</f>
        <v>47.3</v>
      </c>
      <c r="K76" t="s">
        <v>390</v>
      </c>
      <c r="L76" t="s">
        <v>391</v>
      </c>
      <c r="N76" t="s">
        <v>399</v>
      </c>
      <c r="O76">
        <v>4</v>
      </c>
      <c r="P76" t="str">
        <f>+VLOOKUP(O76,References!$A$2:$F$29,2,0)</f>
        <v>Peña et al. (2014)</v>
      </c>
      <c r="Q76" s="13">
        <f>+VLOOKUP(K76&amp;L76,Unit_Normalization!$A$2:$D$24,4,0)*J76</f>
        <v>47.3</v>
      </c>
      <c r="R76" s="14">
        <f>+Table1[[#This Row],[TotalWater_m3_tonCu]]*Table1[[#This Row],[Grade ore Cu%]]</f>
        <v>0.19392999999999996</v>
      </c>
    </row>
    <row r="77" spans="1:18" x14ac:dyDescent="0.3">
      <c r="A77">
        <v>76</v>
      </c>
      <c r="B77" t="s">
        <v>438</v>
      </c>
      <c r="C77" t="s">
        <v>156</v>
      </c>
      <c r="D77" t="str">
        <f>+'Pena 2014'!B11</f>
        <v>Zaldivar</v>
      </c>
      <c r="E77" t="s">
        <v>398</v>
      </c>
      <c r="F77" t="s">
        <v>299</v>
      </c>
      <c r="H77" s="9">
        <f>+'Pena 2014'!F11/100</f>
        <v>6.9999999999999993E-3</v>
      </c>
      <c r="I77">
        <v>4</v>
      </c>
      <c r="J77">
        <f>+'Pena 2014'!G11</f>
        <v>27.7</v>
      </c>
      <c r="K77" t="s">
        <v>390</v>
      </c>
      <c r="L77" t="s">
        <v>391</v>
      </c>
      <c r="N77" t="s">
        <v>399</v>
      </c>
      <c r="O77">
        <v>4</v>
      </c>
      <c r="P77" t="str">
        <f>+VLOOKUP(O77,References!$A$2:$F$29,2,0)</f>
        <v>Peña et al. (2014)</v>
      </c>
      <c r="Q77" s="13">
        <f>+VLOOKUP(K77&amp;L77,Unit_Normalization!$A$2:$D$24,4,0)*J77</f>
        <v>27.7</v>
      </c>
      <c r="R77" s="14">
        <f>+Table1[[#This Row],[TotalWater_m3_tonCu]]*Table1[[#This Row],[Grade ore Cu%]]</f>
        <v>0.19389999999999996</v>
      </c>
    </row>
    <row r="78" spans="1:18" x14ac:dyDescent="0.3">
      <c r="A78">
        <v>77</v>
      </c>
      <c r="B78" t="s">
        <v>438</v>
      </c>
      <c r="C78" t="s">
        <v>156</v>
      </c>
      <c r="D78" t="str">
        <f>+'Pena 2014'!B12</f>
        <v>Escondida</v>
      </c>
      <c r="E78" t="s">
        <v>398</v>
      </c>
      <c r="F78" t="s">
        <v>299</v>
      </c>
      <c r="H78" s="9">
        <f>+'Pena 2014'!F12/100</f>
        <v>1.6E-2</v>
      </c>
      <c r="I78">
        <v>4</v>
      </c>
      <c r="J78">
        <f>+'Pena 2014'!G12</f>
        <v>6.3</v>
      </c>
      <c r="K78" t="s">
        <v>390</v>
      </c>
      <c r="L78" t="s">
        <v>391</v>
      </c>
      <c r="N78" t="s">
        <v>399</v>
      </c>
      <c r="O78">
        <v>4</v>
      </c>
      <c r="P78" t="str">
        <f>+VLOOKUP(O78,References!$A$2:$F$29,2,0)</f>
        <v>Peña et al. (2014)</v>
      </c>
      <c r="Q78" s="13">
        <f>+VLOOKUP(K78&amp;L78,Unit_Normalization!$A$2:$D$24,4,0)*J78</f>
        <v>6.3</v>
      </c>
      <c r="R78" s="14">
        <f>+Table1[[#This Row],[TotalWater_m3_tonCu]]*Table1[[#This Row],[Grade ore Cu%]]</f>
        <v>0.1008</v>
      </c>
    </row>
    <row r="79" spans="1:18" x14ac:dyDescent="0.3">
      <c r="A79">
        <v>78</v>
      </c>
      <c r="B79" t="s">
        <v>438</v>
      </c>
      <c r="C79" t="s">
        <v>156</v>
      </c>
      <c r="D79" t="str">
        <f>+'Pena 2014'!B13</f>
        <v>Mantos Blancos</v>
      </c>
      <c r="E79" t="s">
        <v>398</v>
      </c>
      <c r="F79" t="s">
        <v>299</v>
      </c>
      <c r="H79" s="9">
        <f>+'Pena 2014'!F13/100</f>
        <v>6.9999999999999993E-3</v>
      </c>
      <c r="I79">
        <v>4</v>
      </c>
      <c r="J79">
        <f>+'Pena 2014'!G13</f>
        <v>26.5</v>
      </c>
      <c r="K79" t="s">
        <v>390</v>
      </c>
      <c r="L79" t="s">
        <v>391</v>
      </c>
      <c r="N79" t="s">
        <v>399</v>
      </c>
      <c r="O79">
        <v>4</v>
      </c>
      <c r="P79" t="str">
        <f>+VLOOKUP(O79,References!$A$2:$F$29,2,0)</f>
        <v>Peña et al. (2014)</v>
      </c>
      <c r="Q79" s="13">
        <f>+VLOOKUP(K79&amp;L79,Unit_Normalization!$A$2:$D$24,4,0)*J79</f>
        <v>26.5</v>
      </c>
      <c r="R79" s="14">
        <f>+Table1[[#This Row],[TotalWater_m3_tonCu]]*Table1[[#This Row],[Grade ore Cu%]]</f>
        <v>0.18549999999999997</v>
      </c>
    </row>
    <row r="80" spans="1:18" x14ac:dyDescent="0.3">
      <c r="A80">
        <v>79</v>
      </c>
      <c r="B80" t="s">
        <v>438</v>
      </c>
      <c r="C80" t="s">
        <v>156</v>
      </c>
      <c r="D80" t="str">
        <f>+'Pena 2014'!B14</f>
        <v>Codelco Salvador</v>
      </c>
      <c r="E80" t="s">
        <v>398</v>
      </c>
      <c r="F80" t="s">
        <v>299</v>
      </c>
      <c r="H80" s="9">
        <f>+'Pena 2014'!F14/100</f>
        <v>6.0999999999999995E-3</v>
      </c>
      <c r="I80">
        <v>4</v>
      </c>
      <c r="J80">
        <f>+'Pena 2014'!G14</f>
        <v>58.6</v>
      </c>
      <c r="K80" t="s">
        <v>390</v>
      </c>
      <c r="L80" t="s">
        <v>391</v>
      </c>
      <c r="N80" t="s">
        <v>399</v>
      </c>
      <c r="O80">
        <v>4</v>
      </c>
      <c r="P80" t="str">
        <f>+VLOOKUP(O80,References!$A$2:$F$29,2,0)</f>
        <v>Peña et al. (2014)</v>
      </c>
      <c r="Q80" s="13">
        <f>+VLOOKUP(K80&amp;L80,Unit_Normalization!$A$2:$D$24,4,0)*J80</f>
        <v>58.6</v>
      </c>
      <c r="R80" s="14">
        <f>+Table1[[#This Row],[TotalWater_m3_tonCu]]*Table1[[#This Row],[Grade ore Cu%]]</f>
        <v>0.35746</v>
      </c>
    </row>
    <row r="81" spans="1:18" x14ac:dyDescent="0.3">
      <c r="A81">
        <v>80</v>
      </c>
      <c r="B81" t="s">
        <v>438</v>
      </c>
      <c r="C81" t="s">
        <v>156</v>
      </c>
      <c r="D81" t="str">
        <f>+'Pena 2014'!B15</f>
        <v>Manto Verde</v>
      </c>
      <c r="E81" t="s">
        <v>398</v>
      </c>
      <c r="F81" t="s">
        <v>299</v>
      </c>
      <c r="H81" s="9">
        <f>+'Pena 2014'!F15/100</f>
        <v>6.9999999999999993E-3</v>
      </c>
      <c r="I81">
        <v>4</v>
      </c>
      <c r="J81">
        <f>+'Pena 2014'!G15</f>
        <v>42.6</v>
      </c>
      <c r="K81" t="s">
        <v>390</v>
      </c>
      <c r="L81" t="s">
        <v>391</v>
      </c>
      <c r="N81" t="s">
        <v>399</v>
      </c>
      <c r="O81">
        <v>4</v>
      </c>
      <c r="P81" t="str">
        <f>+VLOOKUP(O81,References!$A$2:$F$29,2,0)</f>
        <v>Peña et al. (2014)</v>
      </c>
      <c r="Q81" s="13">
        <f>+VLOOKUP(K81&amp;L81,Unit_Normalization!$A$2:$D$24,4,0)*J81</f>
        <v>42.6</v>
      </c>
      <c r="R81" s="14">
        <f>+Table1[[#This Row],[TotalWater_m3_tonCu]]*Table1[[#This Row],[Grade ore Cu%]]</f>
        <v>0.29819999999999997</v>
      </c>
    </row>
    <row r="82" spans="1:18" x14ac:dyDescent="0.3">
      <c r="A82">
        <v>81</v>
      </c>
      <c r="B82" t="s">
        <v>438</v>
      </c>
      <c r="C82" t="s">
        <v>156</v>
      </c>
      <c r="D82" t="str">
        <f>+'Pena 2014'!B24</f>
        <v>Inés de Collahuasi</v>
      </c>
      <c r="E82" t="s">
        <v>397</v>
      </c>
      <c r="F82" t="s">
        <v>299</v>
      </c>
      <c r="H82" s="9">
        <f>+'Pena 2014'!F24/100</f>
        <v>6.7000000000000002E-3</v>
      </c>
      <c r="I82">
        <v>4</v>
      </c>
      <c r="J82">
        <f>+'Pena 2014'!G24</f>
        <v>104.5</v>
      </c>
      <c r="K82" t="s">
        <v>390</v>
      </c>
      <c r="L82" t="s">
        <v>391</v>
      </c>
      <c r="N82" t="s">
        <v>399</v>
      </c>
      <c r="O82">
        <v>4</v>
      </c>
      <c r="P82" t="str">
        <f>+VLOOKUP(O82,References!$A$2:$F$29,2,0)</f>
        <v>Peña et al. (2014)</v>
      </c>
      <c r="Q82" s="13">
        <f>+VLOOKUP(K82&amp;L82,Unit_Normalization!$A$2:$D$24,4,0)*J82</f>
        <v>104.5</v>
      </c>
      <c r="R82" s="14">
        <f>+Table1[[#This Row],[TotalWater_m3_tonCu]]*Table1[[#This Row],[Grade ore Cu%]]</f>
        <v>0.70015000000000005</v>
      </c>
    </row>
    <row r="83" spans="1:18" x14ac:dyDescent="0.3">
      <c r="A83">
        <v>82</v>
      </c>
      <c r="B83" t="s">
        <v>438</v>
      </c>
      <c r="C83" t="s">
        <v>156</v>
      </c>
      <c r="D83" t="str">
        <f>+'Pena 2014'!B25</f>
        <v>Codelco Norte</v>
      </c>
      <c r="E83" t="s">
        <v>397</v>
      </c>
      <c r="F83" t="s">
        <v>299</v>
      </c>
      <c r="H83" s="9">
        <f>+'Pena 2014'!F25/100</f>
        <v>1.03E-2</v>
      </c>
      <c r="I83">
        <v>4</v>
      </c>
      <c r="J83">
        <f>+'Pena 2014'!G25</f>
        <v>71.8</v>
      </c>
      <c r="K83" t="s">
        <v>390</v>
      </c>
      <c r="L83" t="s">
        <v>391</v>
      </c>
      <c r="N83" t="s">
        <v>399</v>
      </c>
      <c r="O83">
        <v>4</v>
      </c>
      <c r="P83" t="str">
        <f>+VLOOKUP(O83,References!$A$2:$F$29,2,0)</f>
        <v>Peña et al. (2014)</v>
      </c>
      <c r="Q83" s="13">
        <f>+VLOOKUP(K83&amp;L83,Unit_Normalization!$A$2:$D$24,4,0)*J83</f>
        <v>71.8</v>
      </c>
      <c r="R83" s="14">
        <f>+Table1[[#This Row],[TotalWater_m3_tonCu]]*Table1[[#This Row],[Grade ore Cu%]]</f>
        <v>0.73953999999999998</v>
      </c>
    </row>
    <row r="84" spans="1:18" x14ac:dyDescent="0.3">
      <c r="A84">
        <v>83</v>
      </c>
      <c r="B84" t="s">
        <v>438</v>
      </c>
      <c r="C84" t="s">
        <v>156</v>
      </c>
      <c r="D84" t="str">
        <f>+'Pena 2014'!B26</f>
        <v>Escondida</v>
      </c>
      <c r="E84" t="s">
        <v>397</v>
      </c>
      <c r="F84" t="s">
        <v>299</v>
      </c>
      <c r="H84" s="9">
        <f>+'Pena 2014'!F26/100</f>
        <v>1.6399999999999998E-2</v>
      </c>
      <c r="I84">
        <v>4</v>
      </c>
      <c r="J84">
        <f>+'Pena 2014'!G26</f>
        <v>43.3</v>
      </c>
      <c r="K84" t="s">
        <v>390</v>
      </c>
      <c r="L84" t="s">
        <v>391</v>
      </c>
      <c r="N84" t="s">
        <v>399</v>
      </c>
      <c r="O84">
        <v>4</v>
      </c>
      <c r="P84" t="str">
        <f>+VLOOKUP(O84,References!$A$2:$F$29,2,0)</f>
        <v>Peña et al. (2014)</v>
      </c>
      <c r="Q84" s="13">
        <f>+VLOOKUP(K84&amp;L84,Unit_Normalization!$A$2:$D$24,4,0)*J84</f>
        <v>43.3</v>
      </c>
      <c r="R84" s="14">
        <f>+Table1[[#This Row],[TotalWater_m3_tonCu]]*Table1[[#This Row],[Grade ore Cu%]]</f>
        <v>0.71011999999999986</v>
      </c>
    </row>
    <row r="85" spans="1:18" x14ac:dyDescent="0.3">
      <c r="A85">
        <v>84</v>
      </c>
      <c r="B85" t="s">
        <v>438</v>
      </c>
      <c r="C85" t="s">
        <v>156</v>
      </c>
      <c r="D85" t="str">
        <f>+'Pena 2014'!B27</f>
        <v>Mantos Blancos</v>
      </c>
      <c r="E85" t="s">
        <v>397</v>
      </c>
      <c r="F85" t="s">
        <v>299</v>
      </c>
      <c r="H85" s="9">
        <f>+'Pena 2014'!F27/100</f>
        <v>6.9999999999999993E-3</v>
      </c>
      <c r="I85">
        <v>4</v>
      </c>
      <c r="J85">
        <f>+'Pena 2014'!G27</f>
        <v>90</v>
      </c>
      <c r="K85" t="s">
        <v>390</v>
      </c>
      <c r="L85" t="s">
        <v>391</v>
      </c>
      <c r="N85" t="s">
        <v>399</v>
      </c>
      <c r="O85">
        <v>4</v>
      </c>
      <c r="P85" t="str">
        <f>+VLOOKUP(O85,References!$A$2:$F$29,2,0)</f>
        <v>Peña et al. (2014)</v>
      </c>
      <c r="Q85" s="13">
        <f>+VLOOKUP(K85&amp;L85,Unit_Normalization!$A$2:$D$24,4,0)*J85</f>
        <v>90</v>
      </c>
      <c r="R85" s="14">
        <f>+Table1[[#This Row],[TotalWater_m3_tonCu]]*Table1[[#This Row],[Grade ore Cu%]]</f>
        <v>0.62999999999999989</v>
      </c>
    </row>
    <row r="86" spans="1:18" x14ac:dyDescent="0.3">
      <c r="A86">
        <v>85</v>
      </c>
      <c r="B86" t="s">
        <v>438</v>
      </c>
      <c r="C86" t="s">
        <v>156</v>
      </c>
      <c r="D86" t="str">
        <f>+'Pena 2014'!B28</f>
        <v>Codelco Salvador</v>
      </c>
      <c r="E86" t="s">
        <v>397</v>
      </c>
      <c r="F86" t="s">
        <v>299</v>
      </c>
      <c r="H86" s="9">
        <f>+'Pena 2014'!F28/100</f>
        <v>6.7000000000000002E-3</v>
      </c>
      <c r="I86">
        <v>4</v>
      </c>
      <c r="J86">
        <f>+'Pena 2014'!G28</f>
        <v>309</v>
      </c>
      <c r="K86" t="s">
        <v>390</v>
      </c>
      <c r="L86" t="s">
        <v>391</v>
      </c>
      <c r="N86" t="s">
        <v>399</v>
      </c>
      <c r="O86">
        <v>4</v>
      </c>
      <c r="P86" t="str">
        <f>+VLOOKUP(O86,References!$A$2:$F$29,2,0)</f>
        <v>Peña et al. (2014)</v>
      </c>
      <c r="Q86" s="13">
        <f>+VLOOKUP(K86&amp;L86,Unit_Normalization!$A$2:$D$24,4,0)*J86</f>
        <v>309</v>
      </c>
      <c r="R86" s="14">
        <f>+Table1[[#This Row],[TotalWater_m3_tonCu]]*Table1[[#This Row],[Grade ore Cu%]]</f>
        <v>2.0703</v>
      </c>
    </row>
    <row r="87" spans="1:18" x14ac:dyDescent="0.3">
      <c r="A87">
        <v>86</v>
      </c>
      <c r="B87" t="s">
        <v>438</v>
      </c>
      <c r="C87" t="s">
        <v>156</v>
      </c>
      <c r="D87" t="str">
        <f>+'Pena 2014'!B29</f>
        <v>Minera Candelaria</v>
      </c>
      <c r="E87" t="s">
        <v>397</v>
      </c>
      <c r="F87" t="s">
        <v>299</v>
      </c>
      <c r="H87" s="9">
        <f>+'Pena 2014'!F29/100</f>
        <v>5.1999999999999998E-3</v>
      </c>
      <c r="I87">
        <v>4</v>
      </c>
      <c r="J87">
        <f>+'Pena 2014'!G29</f>
        <v>59.6</v>
      </c>
      <c r="K87" t="s">
        <v>390</v>
      </c>
      <c r="L87" t="s">
        <v>391</v>
      </c>
      <c r="N87" t="s">
        <v>399</v>
      </c>
      <c r="O87">
        <v>4</v>
      </c>
      <c r="P87" t="str">
        <f>+VLOOKUP(O87,References!$A$2:$F$29,2,0)</f>
        <v>Peña et al. (2014)</v>
      </c>
      <c r="Q87" s="13">
        <f>+VLOOKUP(K87&amp;L87,Unit_Normalization!$A$2:$D$24,4,0)*J87</f>
        <v>59.6</v>
      </c>
      <c r="R87" s="14">
        <f>+Table1[[#This Row],[TotalWater_m3_tonCu]]*Table1[[#This Row],[Grade ore Cu%]]</f>
        <v>0.30991999999999997</v>
      </c>
    </row>
    <row r="88" spans="1:18" x14ac:dyDescent="0.3">
      <c r="A88">
        <v>87</v>
      </c>
      <c r="B88" t="s">
        <v>438</v>
      </c>
      <c r="C88" t="s">
        <v>156</v>
      </c>
      <c r="D88" t="str">
        <f>+'Pena 2014'!B30</f>
        <v>Minera Ojos del Salado</v>
      </c>
      <c r="E88" t="s">
        <v>397</v>
      </c>
      <c r="F88" t="s">
        <v>299</v>
      </c>
      <c r="H88" s="9">
        <f>+'Pena 2014'!F30/100</f>
        <v>6.9999999999999993E-3</v>
      </c>
      <c r="I88">
        <v>4</v>
      </c>
      <c r="J88">
        <f>+'Pena 2014'!G30</f>
        <v>280</v>
      </c>
      <c r="K88" t="s">
        <v>390</v>
      </c>
      <c r="L88" t="s">
        <v>391</v>
      </c>
      <c r="N88" t="s">
        <v>399</v>
      </c>
      <c r="O88">
        <v>4</v>
      </c>
      <c r="P88" t="str">
        <f>+VLOOKUP(O88,References!$A$2:$F$29,2,0)</f>
        <v>Peña et al. (2014)</v>
      </c>
      <c r="Q88" s="13">
        <f>+VLOOKUP(K88&amp;L88,Unit_Normalization!$A$2:$D$24,4,0)*J88</f>
        <v>280</v>
      </c>
      <c r="R88" s="14">
        <f>+Table1[[#This Row],[TotalWater_m3_tonCu]]*Table1[[#This Row],[Grade ore Cu%]]</f>
        <v>1.9599999999999997</v>
      </c>
    </row>
    <row r="89" spans="1:18" x14ac:dyDescent="0.3">
      <c r="A89">
        <v>88</v>
      </c>
      <c r="B89" t="s">
        <v>438</v>
      </c>
      <c r="C89" t="s">
        <v>156</v>
      </c>
      <c r="D89" t="str">
        <f>+'Pena 2014'!B31</f>
        <v>Los Pelambres</v>
      </c>
      <c r="E89" t="s">
        <v>397</v>
      </c>
      <c r="F89" t="s">
        <v>299</v>
      </c>
      <c r="H89" s="9">
        <f>+'Pena 2014'!F31/100</f>
        <v>6.4000000000000003E-3</v>
      </c>
      <c r="I89">
        <v>4</v>
      </c>
      <c r="J89">
        <f>+'Pena 2014'!G31</f>
        <v>60.9</v>
      </c>
      <c r="K89" t="s">
        <v>390</v>
      </c>
      <c r="L89" t="s">
        <v>391</v>
      </c>
      <c r="N89" t="s">
        <v>399</v>
      </c>
      <c r="O89">
        <v>4</v>
      </c>
      <c r="P89" t="str">
        <f>+VLOOKUP(O89,References!$A$2:$F$29,2,0)</f>
        <v>Peña et al. (2014)</v>
      </c>
      <c r="Q89" s="13">
        <f>+VLOOKUP(K89&amp;L89,Unit_Normalization!$A$2:$D$24,4,0)*J89</f>
        <v>60.9</v>
      </c>
      <c r="R89" s="14">
        <f>+Table1[[#This Row],[TotalWater_m3_tonCu]]*Table1[[#This Row],[Grade ore Cu%]]</f>
        <v>0.38976</v>
      </c>
    </row>
    <row r="90" spans="1:18" x14ac:dyDescent="0.3">
      <c r="A90">
        <v>89</v>
      </c>
      <c r="B90" t="s">
        <v>438</v>
      </c>
      <c r="C90" t="s">
        <v>450</v>
      </c>
      <c r="E90" t="s">
        <v>451</v>
      </c>
      <c r="F90" t="s">
        <v>386</v>
      </c>
      <c r="H90" s="9">
        <v>0.03</v>
      </c>
      <c r="I90">
        <v>6</v>
      </c>
      <c r="J90" s="14">
        <f>0.37/Table1[[#This Row],[Grade ore Cu%]]+7.8</f>
        <v>20.133333333333333</v>
      </c>
      <c r="K90" t="s">
        <v>390</v>
      </c>
      <c r="L90" t="s">
        <v>391</v>
      </c>
      <c r="M90" t="s">
        <v>453</v>
      </c>
      <c r="O90">
        <v>6</v>
      </c>
      <c r="P90" t="str">
        <f>+VLOOKUP(O90,References!$A$2:$F$29,2,0)</f>
        <v>Gunson (2013)</v>
      </c>
      <c r="Q90" s="13">
        <f>+VLOOKUP(K90&amp;L90,Unit_Normalization!$A$2:$D$24,4,0)*J90</f>
        <v>20.133333333333333</v>
      </c>
      <c r="R90" s="14">
        <f>+Table1[[#This Row],[TotalWater_m3_tonCu]]*Table1[[#This Row],[Grade ore Cu%]]</f>
        <v>0.60399999999999998</v>
      </c>
    </row>
    <row r="91" spans="1:18" x14ac:dyDescent="0.3">
      <c r="A91">
        <v>90</v>
      </c>
      <c r="B91" t="s">
        <v>438</v>
      </c>
      <c r="C91" t="s">
        <v>450</v>
      </c>
      <c r="E91" t="s">
        <v>452</v>
      </c>
      <c r="F91" t="s">
        <v>386</v>
      </c>
      <c r="H91" s="9">
        <v>0.02</v>
      </c>
      <c r="I91">
        <v>6</v>
      </c>
      <c r="J91" s="14">
        <v>23</v>
      </c>
      <c r="K91" t="s">
        <v>390</v>
      </c>
      <c r="L91" t="s">
        <v>391</v>
      </c>
      <c r="M91" t="s">
        <v>454</v>
      </c>
      <c r="O91">
        <v>6</v>
      </c>
      <c r="P91" t="str">
        <f>+VLOOKUP(O91,References!$A$2:$F$29,2,0)</f>
        <v>Gunson (2013)</v>
      </c>
      <c r="Q91" s="13">
        <f>+VLOOKUP(K91&amp;L91,Unit_Normalization!$A$2:$D$24,4,0)*J91</f>
        <v>23</v>
      </c>
      <c r="R91" s="14">
        <f>+Table1[[#This Row],[TotalWater_m3_tonCu]]*Table1[[#This Row],[Grade ore Cu%]]</f>
        <v>0.46</v>
      </c>
    </row>
    <row r="92" spans="1:18" x14ac:dyDescent="0.3">
      <c r="A92">
        <v>91</v>
      </c>
      <c r="B92" t="s">
        <v>449</v>
      </c>
      <c r="C92" t="s">
        <v>450</v>
      </c>
      <c r="E92" t="s">
        <v>455</v>
      </c>
      <c r="F92" t="s">
        <v>386</v>
      </c>
      <c r="H92" s="9">
        <v>2.3E-2</v>
      </c>
      <c r="I92">
        <v>6</v>
      </c>
      <c r="J92" s="14">
        <f>0.93/Table1[[#This Row],[Grade ore Cu%]]+0.81/0.15</f>
        <v>45.834782608695654</v>
      </c>
      <c r="K92" t="s">
        <v>390</v>
      </c>
      <c r="L92" t="s">
        <v>457</v>
      </c>
      <c r="M92" t="s">
        <v>453</v>
      </c>
      <c r="O92">
        <v>6</v>
      </c>
      <c r="P92" t="str">
        <f>+VLOOKUP(O92,References!$A$2:$F$29,2,0)</f>
        <v>Gunson (2013)</v>
      </c>
      <c r="Q92" s="13">
        <f>+VLOOKUP(K92&amp;L92,Unit_Normalization!$A$2:$D$24,4,0)*J92</f>
        <v>45.834782608695654</v>
      </c>
      <c r="R92" s="14">
        <f>+Table1[[#This Row],[TotalWater_m3_tonCu]]*Table1[[#This Row],[Grade ore Cu%]]</f>
        <v>1.0542</v>
      </c>
    </row>
    <row r="93" spans="1:18" x14ac:dyDescent="0.3">
      <c r="A93">
        <v>92</v>
      </c>
      <c r="B93" t="s">
        <v>449</v>
      </c>
      <c r="C93" t="s">
        <v>450</v>
      </c>
      <c r="E93" t="s">
        <v>456</v>
      </c>
      <c r="F93" t="s">
        <v>386</v>
      </c>
      <c r="H93" s="9">
        <v>0.01</v>
      </c>
      <c r="I93">
        <v>6</v>
      </c>
      <c r="J93">
        <f>3.4/Table1[[#This Row],[Grade ore Cu%]]</f>
        <v>340</v>
      </c>
      <c r="K93" t="s">
        <v>390</v>
      </c>
      <c r="L93" t="s">
        <v>457</v>
      </c>
      <c r="M93" t="s">
        <v>33</v>
      </c>
      <c r="O93">
        <v>6</v>
      </c>
      <c r="P93" t="str">
        <f>+VLOOKUP(O93,References!$A$2:$F$29,2,0)</f>
        <v>Gunson (2013)</v>
      </c>
      <c r="Q93" s="13">
        <f>+VLOOKUP(K93&amp;L93,Unit_Normalization!$A$2:$D$24,4,0)*J93</f>
        <v>340</v>
      </c>
      <c r="R93" s="14">
        <f>+Table1[[#This Row],[TotalWater_m3_tonCu]]*Table1[[#This Row],[Grade ore Cu%]]</f>
        <v>3.4</v>
      </c>
    </row>
    <row r="94" spans="1:18" x14ac:dyDescent="0.3">
      <c r="A94">
        <v>93</v>
      </c>
      <c r="B94" t="s">
        <v>443</v>
      </c>
      <c r="C94" t="s">
        <v>461</v>
      </c>
      <c r="F94" t="s">
        <v>386</v>
      </c>
      <c r="H94" s="9">
        <v>2.5999999999999998E-4</v>
      </c>
      <c r="I94">
        <v>6</v>
      </c>
      <c r="J94" s="14">
        <f>0.08/Table1[[#This Row],[Grade ore Cu%]]</f>
        <v>307.69230769230774</v>
      </c>
      <c r="K94" t="s">
        <v>390</v>
      </c>
      <c r="L94" t="s">
        <v>460</v>
      </c>
      <c r="N94" t="s">
        <v>462</v>
      </c>
      <c r="O94">
        <v>6</v>
      </c>
      <c r="P94" t="str">
        <f>+VLOOKUP(O94,References!$A$2:$F$29,2,0)</f>
        <v>Gunson (2013)</v>
      </c>
      <c r="Q94" s="13">
        <f>+VLOOKUP(K94&amp;L94,Unit_Normalization!$A$2:$D$24,4,0)*J94</f>
        <v>307.69230769230774</v>
      </c>
      <c r="R94" s="15">
        <f>+Table1[[#This Row],[TotalWater_m3_tonCu]]*Table1[[#This Row],[Grade ore Cu%]]</f>
        <v>0.08</v>
      </c>
    </row>
    <row r="95" spans="1:18" x14ac:dyDescent="0.3">
      <c r="A95">
        <v>94</v>
      </c>
      <c r="B95" t="s">
        <v>438</v>
      </c>
      <c r="C95" t="s">
        <v>461</v>
      </c>
      <c r="E95" t="s">
        <v>459</v>
      </c>
      <c r="F95" t="s">
        <v>386</v>
      </c>
      <c r="H95" s="9">
        <v>5.7999999999999996E-3</v>
      </c>
      <c r="I95">
        <v>6</v>
      </c>
      <c r="J95" s="4">
        <f>0.538/Table1[[#This Row],[Grade ore Cu%]]</f>
        <v>92.758620689655189</v>
      </c>
      <c r="K95" t="s">
        <v>390</v>
      </c>
      <c r="L95" t="s">
        <v>391</v>
      </c>
      <c r="N95" t="s">
        <v>462</v>
      </c>
      <c r="O95">
        <v>6</v>
      </c>
      <c r="P95" t="str">
        <f>+VLOOKUP(O95,References!$A$2:$F$29,2,0)</f>
        <v>Gunson (2013)</v>
      </c>
      <c r="Q95" s="13">
        <f>+VLOOKUP(K95&amp;L95,Unit_Normalization!$A$2:$D$24,4,0)*J95</f>
        <v>92.758620689655189</v>
      </c>
      <c r="R95" s="14">
        <f>+Table1[[#This Row],[TotalWater_m3_tonCu]]*Table1[[#This Row],[Grade ore Cu%]]</f>
        <v>0.53800000000000003</v>
      </c>
    </row>
    <row r="96" spans="1:18" x14ac:dyDescent="0.3">
      <c r="A96">
        <v>95</v>
      </c>
      <c r="B96" t="s">
        <v>438</v>
      </c>
      <c r="C96" t="s">
        <v>461</v>
      </c>
      <c r="E96" t="s">
        <v>458</v>
      </c>
      <c r="F96" t="s">
        <v>386</v>
      </c>
      <c r="H96" s="9">
        <v>2.8E-3</v>
      </c>
      <c r="I96">
        <v>6</v>
      </c>
      <c r="J96" s="4">
        <f>0.164/Table1[[#This Row],[Grade ore Cu%]]</f>
        <v>58.571428571428577</v>
      </c>
      <c r="K96" t="s">
        <v>390</v>
      </c>
      <c r="L96" t="s">
        <v>391</v>
      </c>
      <c r="N96" t="s">
        <v>462</v>
      </c>
      <c r="O96">
        <v>6</v>
      </c>
      <c r="P96" t="str">
        <f>+VLOOKUP(O96,References!$A$2:$F$29,2,0)</f>
        <v>Gunson (2013)</v>
      </c>
      <c r="Q96" s="13">
        <f>+VLOOKUP(K96&amp;L96,Unit_Normalization!$A$2:$D$24,4,0)*J96</f>
        <v>58.571428571428577</v>
      </c>
      <c r="R96" s="14">
        <f>+Table1[[#This Row],[TotalWater_m3_tonCu]]*Table1[[#This Row],[Grade ore Cu%]]</f>
        <v>0.16400000000000001</v>
      </c>
    </row>
    <row r="97" spans="1:18" x14ac:dyDescent="0.3">
      <c r="A97">
        <v>96</v>
      </c>
      <c r="B97" t="s">
        <v>449</v>
      </c>
      <c r="C97" t="s">
        <v>461</v>
      </c>
      <c r="F97" t="s">
        <v>386</v>
      </c>
      <c r="H97" s="9">
        <v>4.7999999999999996E-3</v>
      </c>
      <c r="I97">
        <v>6</v>
      </c>
      <c r="J97">
        <f>0.567/Table1[[#This Row],[Grade ore Cu%]]</f>
        <v>118.125</v>
      </c>
      <c r="K97" t="s">
        <v>390</v>
      </c>
      <c r="L97" t="s">
        <v>457</v>
      </c>
      <c r="N97" t="s">
        <v>462</v>
      </c>
      <c r="O97">
        <v>6</v>
      </c>
      <c r="P97" t="str">
        <f>+VLOOKUP(O97,References!$A$2:$F$29,2,0)</f>
        <v>Gunson (2013)</v>
      </c>
      <c r="Q97" s="13">
        <f>+VLOOKUP(K97&amp;L97,Unit_Normalization!$A$2:$D$24,4,0)*J97</f>
        <v>118.125</v>
      </c>
      <c r="R97" s="14">
        <f>+Table1[[#This Row],[TotalWater_m3_tonCu]]*Table1[[#This Row],[Grade ore Cu%]]</f>
        <v>0.56699999999999995</v>
      </c>
    </row>
    <row r="98" spans="1:18" x14ac:dyDescent="0.3">
      <c r="A98">
        <v>97</v>
      </c>
      <c r="B98" t="s">
        <v>438</v>
      </c>
      <c r="C98" t="s">
        <v>466</v>
      </c>
      <c r="F98" t="s">
        <v>386</v>
      </c>
      <c r="H98" s="9">
        <f>1.27/Table1[[#This Row],[Freshwater]]</f>
        <v>7.3837209302325584E-3</v>
      </c>
      <c r="I98">
        <v>7</v>
      </c>
      <c r="J98">
        <v>172</v>
      </c>
      <c r="K98" t="s">
        <v>390</v>
      </c>
      <c r="L98" t="s">
        <v>391</v>
      </c>
      <c r="O98">
        <v>7</v>
      </c>
      <c r="P98" t="str">
        <f>+VLOOKUP(O98,References!$A$2:$F$29,2,0)</f>
        <v>Mudd (2008)</v>
      </c>
      <c r="Q98" s="13">
        <f>+VLOOKUP(K98&amp;L98,Unit_Normalization!$A$2:$D$24,4,0)*J98</f>
        <v>172</v>
      </c>
      <c r="R98" s="14">
        <f>+Table1[[#This Row],[TotalWater_m3_tonCu]]*Table1[[#This Row],[Grade ore Cu%]]</f>
        <v>1.27</v>
      </c>
    </row>
    <row r="99" spans="1:18" x14ac:dyDescent="0.3">
      <c r="A99">
        <v>98</v>
      </c>
      <c r="B99" t="s">
        <v>438</v>
      </c>
      <c r="C99" t="s">
        <v>467</v>
      </c>
      <c r="F99" t="s">
        <v>386</v>
      </c>
      <c r="H99" s="9">
        <f>1.22/Table1[[#This Row],[Freshwater]]</f>
        <v>1.0517241379310345E-2</v>
      </c>
      <c r="I99">
        <v>7</v>
      </c>
      <c r="J99">
        <v>116</v>
      </c>
      <c r="K99" t="s">
        <v>390</v>
      </c>
      <c r="L99" t="s">
        <v>391</v>
      </c>
      <c r="O99">
        <v>7</v>
      </c>
      <c r="P99" t="str">
        <f>+VLOOKUP(O99,References!$A$2:$F$29,2,0)</f>
        <v>Mudd (2008)</v>
      </c>
      <c r="Q99" s="13">
        <f>+VLOOKUP(K99&amp;L99,Unit_Normalization!$A$2:$D$24,4,0)*J99</f>
        <v>116</v>
      </c>
      <c r="R99" s="14">
        <f>+Table1[[#This Row],[TotalWater_m3_tonCu]]*Table1[[#This Row],[Grade ore Cu%]]</f>
        <v>1.22</v>
      </c>
    </row>
    <row r="100" spans="1:18" x14ac:dyDescent="0.3">
      <c r="A100">
        <v>99</v>
      </c>
      <c r="B100" t="s">
        <v>449</v>
      </c>
      <c r="C100" t="s">
        <v>466</v>
      </c>
      <c r="E100" t="s">
        <v>468</v>
      </c>
      <c r="F100" t="s">
        <v>386</v>
      </c>
      <c r="H100" s="9">
        <f>1.01/Table1[[#This Row],[Freshwater]]</f>
        <v>9.4392523364485986E-3</v>
      </c>
      <c r="I100">
        <v>7</v>
      </c>
      <c r="J100">
        <v>107</v>
      </c>
      <c r="K100" t="s">
        <v>390</v>
      </c>
      <c r="L100" t="s">
        <v>457</v>
      </c>
      <c r="O100">
        <v>7</v>
      </c>
      <c r="P100" t="str">
        <f>+VLOOKUP(O100,References!$A$2:$F$29,2,0)</f>
        <v>Mudd (2008)</v>
      </c>
      <c r="Q100" s="13">
        <f>+VLOOKUP(K100&amp;L100,Unit_Normalization!$A$2:$D$24,4,0)*J100</f>
        <v>107</v>
      </c>
      <c r="R100" s="14">
        <f>+Table1[[#This Row],[TotalWater_m3_tonCu]]*Table1[[#This Row],[Grade ore Cu%]]</f>
        <v>1.01</v>
      </c>
    </row>
    <row r="101" spans="1:18" x14ac:dyDescent="0.3">
      <c r="A101">
        <v>100</v>
      </c>
      <c r="B101" t="s">
        <v>438</v>
      </c>
      <c r="C101" t="s">
        <v>471</v>
      </c>
      <c r="F101" t="s">
        <v>299</v>
      </c>
      <c r="H101" s="9">
        <v>2.4400000000000002E-2</v>
      </c>
      <c r="I101">
        <v>8</v>
      </c>
      <c r="J101" s="14">
        <f>45.3*3.78/1000/Table1[[#This Row],[Grade ore Cu%]]</f>
        <v>7.0177868852458998</v>
      </c>
      <c r="K101" t="s">
        <v>390</v>
      </c>
      <c r="L101" t="s">
        <v>391</v>
      </c>
      <c r="M101" t="s">
        <v>473</v>
      </c>
      <c r="N101" t="s">
        <v>472</v>
      </c>
      <c r="O101">
        <v>8</v>
      </c>
      <c r="P101" t="str">
        <f>+VLOOKUP(O101,References!$A$2:$F$29,2,0)</f>
        <v>Dai et al. (2018)</v>
      </c>
      <c r="Q101" s="13">
        <f>+VLOOKUP(K101&amp;L101,Unit_Normalization!$A$2:$D$24,4,0)*J101</f>
        <v>7.0177868852458998</v>
      </c>
      <c r="R101" s="14">
        <f>+Table1[[#This Row],[TotalWater_m3_tonCu]]*Table1[[#This Row],[Grade ore Cu%]]</f>
        <v>0.17123399999999997</v>
      </c>
    </row>
    <row r="102" spans="1:18" x14ac:dyDescent="0.3">
      <c r="A102">
        <v>101</v>
      </c>
      <c r="B102" t="s">
        <v>438</v>
      </c>
      <c r="C102" t="s">
        <v>471</v>
      </c>
      <c r="F102" t="s">
        <v>300</v>
      </c>
      <c r="H102" s="9">
        <v>2.4400000000000002E-2</v>
      </c>
      <c r="I102">
        <v>8</v>
      </c>
      <c r="J102" s="14">
        <f>725*3.78/1000/Table1[[#This Row],[Grade ore Cu%]]</f>
        <v>112.3155737704918</v>
      </c>
      <c r="K102" t="s">
        <v>390</v>
      </c>
      <c r="L102" t="s">
        <v>391</v>
      </c>
      <c r="M102" t="s">
        <v>325</v>
      </c>
      <c r="N102" t="s">
        <v>472</v>
      </c>
      <c r="O102">
        <v>8</v>
      </c>
      <c r="P102" t="str">
        <f>+VLOOKUP(O102,References!$A$2:$F$29,2,0)</f>
        <v>Dai et al. (2018)</v>
      </c>
      <c r="Q102" s="13">
        <f>+VLOOKUP(K102&amp;L102,Unit_Normalization!$A$2:$D$24,4,0)*J102</f>
        <v>112.3155737704918</v>
      </c>
      <c r="R102" s="14">
        <f>+Table1[[#This Row],[TotalWater_m3_tonCu]]*Table1[[#This Row],[Grade ore Cu%]]</f>
        <v>2.7404999999999999</v>
      </c>
    </row>
  </sheetData>
  <conditionalFormatting sqref="F1:G1">
    <cfRule type="containsText" dxfId="7" priority="2" operator="containsText" text="Volcano">
      <formula>NOT(ISERROR(SEARCH("Volcano",F1)))</formula>
    </cfRule>
    <cfRule type="containsText" dxfId="6" priority="3" operator="containsText" text="Hard Rock">
      <formula>NOT(ISERROR(SEARCH("Hard Rock",F1)))</formula>
    </cfRule>
    <cfRule type="containsText" dxfId="5" priority="4" operator="containsText" text="Brine">
      <formula>NOT(ISERROR(SEARCH("Brine",F1)))</formula>
    </cfRule>
    <cfRule type="expression" dxfId="4" priority="5">
      <formula>"Brine"</formula>
    </cfRule>
  </conditionalFormatting>
  <conditionalFormatting sqref="R2:R102">
    <cfRule type="colorScale" priority="6">
      <colorScale>
        <cfvo type="min"/>
        <cfvo type="max"/>
        <color rgb="FFFCFCFF"/>
        <color rgb="FFF8696B"/>
      </colorScale>
    </cfRule>
  </conditionalFormatting>
  <hyperlinks>
    <hyperlink ref="I45" r:id="rId1" xr:uid="{969A8C7C-0550-4137-83C2-E7FB761CDF44}"/>
  </hyperlinks>
  <pageMargins left="0.7" right="0.7" top="0.75" bottom="0.75" header="0.3" footer="0.3"/>
  <pageSetup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7757A-8B5A-4EA7-83E5-74FD97B52EB2}">
  <dimension ref="A1:G9"/>
  <sheetViews>
    <sheetView workbookViewId="0">
      <selection activeCell="G10" sqref="G10"/>
    </sheetView>
  </sheetViews>
  <sheetFormatPr defaultRowHeight="14.4" x14ac:dyDescent="0.3"/>
  <cols>
    <col min="3" max="3" width="24.21875" customWidth="1"/>
  </cols>
  <sheetData>
    <row r="1" spans="1:7" x14ac:dyDescent="0.3">
      <c r="A1" t="s">
        <v>12</v>
      </c>
      <c r="B1" t="s">
        <v>1</v>
      </c>
      <c r="C1" t="s">
        <v>13</v>
      </c>
      <c r="D1" t="s">
        <v>14</v>
      </c>
      <c r="E1" t="s">
        <v>15</v>
      </c>
      <c r="F1" t="s">
        <v>16</v>
      </c>
      <c r="G1" t="s">
        <v>478</v>
      </c>
    </row>
    <row r="2" spans="1:7" x14ac:dyDescent="0.3">
      <c r="A2">
        <v>1</v>
      </c>
      <c r="B2" t="s">
        <v>303</v>
      </c>
      <c r="C2" t="s">
        <v>17</v>
      </c>
      <c r="D2">
        <v>2013</v>
      </c>
      <c r="E2" s="11" t="s">
        <v>479</v>
      </c>
      <c r="F2" t="s">
        <v>18</v>
      </c>
      <c r="G2" t="s">
        <v>480</v>
      </c>
    </row>
    <row r="3" spans="1:7" x14ac:dyDescent="0.3">
      <c r="A3">
        <v>2</v>
      </c>
      <c r="B3" t="s">
        <v>302</v>
      </c>
      <c r="C3" t="s">
        <v>301</v>
      </c>
      <c r="D3">
        <v>2025</v>
      </c>
      <c r="E3" s="11" t="s">
        <v>304</v>
      </c>
      <c r="G3" t="s">
        <v>481</v>
      </c>
    </row>
    <row r="4" spans="1:7" x14ac:dyDescent="0.3">
      <c r="A4">
        <v>3</v>
      </c>
      <c r="B4" t="s">
        <v>440</v>
      </c>
      <c r="C4" t="s">
        <v>388</v>
      </c>
      <c r="D4">
        <v>2020</v>
      </c>
      <c r="E4" s="11" t="s">
        <v>389</v>
      </c>
      <c r="G4" t="s">
        <v>483</v>
      </c>
    </row>
    <row r="5" spans="1:7" x14ac:dyDescent="0.3">
      <c r="A5">
        <v>4</v>
      </c>
      <c r="B5" t="s">
        <v>395</v>
      </c>
      <c r="C5" t="s">
        <v>394</v>
      </c>
      <c r="D5">
        <v>2014</v>
      </c>
      <c r="E5" s="11" t="s">
        <v>396</v>
      </c>
      <c r="G5" t="s">
        <v>480</v>
      </c>
    </row>
    <row r="6" spans="1:7" x14ac:dyDescent="0.3">
      <c r="A6">
        <v>5</v>
      </c>
      <c r="B6" t="s">
        <v>441</v>
      </c>
      <c r="C6" t="s">
        <v>439</v>
      </c>
      <c r="D6">
        <v>2021</v>
      </c>
      <c r="E6" t="s">
        <v>442</v>
      </c>
      <c r="G6" s="16" t="s">
        <v>482</v>
      </c>
    </row>
    <row r="7" spans="1:7" x14ac:dyDescent="0.3">
      <c r="A7">
        <v>6</v>
      </c>
      <c r="B7" t="s">
        <v>447</v>
      </c>
      <c r="C7" t="s">
        <v>446</v>
      </c>
      <c r="D7">
        <v>2013</v>
      </c>
      <c r="E7" t="s">
        <v>448</v>
      </c>
      <c r="G7" t="s">
        <v>462</v>
      </c>
    </row>
    <row r="8" spans="1:7" x14ac:dyDescent="0.3">
      <c r="A8">
        <v>7</v>
      </c>
      <c r="B8" t="s">
        <v>464</v>
      </c>
      <c r="C8" t="s">
        <v>463</v>
      </c>
      <c r="D8">
        <v>2008</v>
      </c>
      <c r="E8" s="11" t="s">
        <v>465</v>
      </c>
      <c r="G8" t="s">
        <v>480</v>
      </c>
    </row>
    <row r="9" spans="1:7" x14ac:dyDescent="0.3">
      <c r="A9">
        <v>8</v>
      </c>
      <c r="B9" t="s">
        <v>470</v>
      </c>
      <c r="C9" t="s">
        <v>469</v>
      </c>
      <c r="D9">
        <v>2018</v>
      </c>
      <c r="G9" t="s">
        <v>480</v>
      </c>
    </row>
  </sheetData>
  <hyperlinks>
    <hyperlink ref="E3" r:id="rId1" xr:uid="{2F5F61E3-63F7-4B00-AE23-31FF5AF80389}"/>
    <hyperlink ref="E4" r:id="rId2" xr:uid="{63C2247E-68E9-4C29-8C9B-67344421AD0A}"/>
    <hyperlink ref="E5" r:id="rId3" xr:uid="{B4D8B825-D86C-4F63-9352-B3E0C93B5C02}"/>
    <hyperlink ref="E8" r:id="rId4" xr:uid="{F43C15EA-21A9-4153-B9EC-24D3D0FF9046}"/>
  </hyperlinks>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AE40-541E-4D99-8356-67392E26EFB0}">
  <dimension ref="A1:D7"/>
  <sheetViews>
    <sheetView workbookViewId="0">
      <selection activeCell="C8" sqref="C8"/>
    </sheetView>
  </sheetViews>
  <sheetFormatPr defaultRowHeight="14.4" x14ac:dyDescent="0.3"/>
  <sheetData>
    <row r="1" spans="1:4" x14ac:dyDescent="0.3">
      <c r="A1" s="1" t="s">
        <v>381</v>
      </c>
      <c r="B1" s="1" t="s">
        <v>4</v>
      </c>
      <c r="C1" s="1" t="s">
        <v>5</v>
      </c>
      <c r="D1" s="1" t="s">
        <v>380</v>
      </c>
    </row>
    <row r="2" spans="1:4" x14ac:dyDescent="0.3">
      <c r="A2" t="str">
        <f t="shared" ref="A2:A7" si="0">+B2&amp;C2</f>
        <v>kLt Cu</v>
      </c>
      <c r="B2" t="s">
        <v>295</v>
      </c>
      <c r="C2" t="s">
        <v>296</v>
      </c>
      <c r="D2">
        <v>1</v>
      </c>
    </row>
    <row r="3" spans="1:4" x14ac:dyDescent="0.3">
      <c r="A3" t="str">
        <f t="shared" si="0"/>
        <v>Lkg Cu</v>
      </c>
      <c r="B3" t="s">
        <v>364</v>
      </c>
      <c r="C3" t="s">
        <v>365</v>
      </c>
      <c r="D3">
        <v>1</v>
      </c>
    </row>
    <row r="4" spans="1:4" x14ac:dyDescent="0.3">
      <c r="A4" t="str">
        <f t="shared" si="0"/>
        <v>m3ton Cu</v>
      </c>
      <c r="B4" t="s">
        <v>390</v>
      </c>
      <c r="C4" t="s">
        <v>391</v>
      </c>
      <c r="D4">
        <v>1</v>
      </c>
    </row>
    <row r="5" spans="1:4" x14ac:dyDescent="0.3">
      <c r="A5" t="str">
        <f t="shared" si="0"/>
        <v>m3kg Co</v>
      </c>
      <c r="B5" t="s">
        <v>390</v>
      </c>
      <c r="C5" t="s">
        <v>444</v>
      </c>
      <c r="D5">
        <v>1000</v>
      </c>
    </row>
    <row r="6" spans="1:4" x14ac:dyDescent="0.3">
      <c r="A6" t="str">
        <f t="shared" si="0"/>
        <v>m3ton Ni</v>
      </c>
      <c r="B6" t="s">
        <v>390</v>
      </c>
      <c r="C6" t="s">
        <v>457</v>
      </c>
      <c r="D6">
        <v>1</v>
      </c>
    </row>
    <row r="7" spans="1:4" x14ac:dyDescent="0.3">
      <c r="A7" t="str">
        <f t="shared" si="0"/>
        <v>m3ton Co</v>
      </c>
      <c r="B7" t="s">
        <v>390</v>
      </c>
      <c r="C7" t="s">
        <v>460</v>
      </c>
      <c r="D7">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BBC65-CA1D-484B-9E3B-3107D3543916}">
  <dimension ref="A1:R41"/>
  <sheetViews>
    <sheetView workbookViewId="0">
      <selection activeCell="P3" sqref="P3"/>
    </sheetView>
  </sheetViews>
  <sheetFormatPr defaultRowHeight="14.4" x14ac:dyDescent="0.3"/>
  <sheetData>
    <row r="1" spans="1:18" x14ac:dyDescent="0.3">
      <c r="B1" s="17" t="s">
        <v>19</v>
      </c>
      <c r="C1" s="17" t="s">
        <v>20</v>
      </c>
      <c r="D1" s="17" t="s">
        <v>21</v>
      </c>
      <c r="E1" s="17" t="s">
        <v>22</v>
      </c>
      <c r="F1" s="17" t="s">
        <v>23</v>
      </c>
      <c r="G1" s="17" t="s">
        <v>24</v>
      </c>
      <c r="H1" s="17" t="s">
        <v>25</v>
      </c>
      <c r="I1" s="17" t="s">
        <v>26</v>
      </c>
      <c r="J1" s="17" t="s">
        <v>27</v>
      </c>
      <c r="K1" s="17" t="s">
        <v>28</v>
      </c>
      <c r="L1" s="6" t="s">
        <v>29</v>
      </c>
      <c r="M1" s="17" t="s">
        <v>31</v>
      </c>
      <c r="N1" s="17" t="s">
        <v>32</v>
      </c>
      <c r="O1" s="6" t="s">
        <v>33</v>
      </c>
      <c r="P1" s="17" t="s">
        <v>35</v>
      </c>
      <c r="Q1" s="17" t="s">
        <v>36</v>
      </c>
      <c r="R1" s="17" t="s">
        <v>37</v>
      </c>
    </row>
    <row r="2" spans="1:18" ht="21" thickBot="1" x14ac:dyDescent="0.35">
      <c r="A2" t="s">
        <v>293</v>
      </c>
      <c r="B2" s="18"/>
      <c r="C2" s="18"/>
      <c r="D2" s="18"/>
      <c r="E2" s="18"/>
      <c r="F2" s="18"/>
      <c r="G2" s="18"/>
      <c r="H2" s="18"/>
      <c r="I2" s="18"/>
      <c r="J2" s="18"/>
      <c r="K2" s="18"/>
      <c r="L2" s="2" t="s">
        <v>30</v>
      </c>
      <c r="M2" s="18"/>
      <c r="N2" s="18"/>
      <c r="O2" s="2" t="s">
        <v>34</v>
      </c>
      <c r="P2" s="18"/>
      <c r="Q2" s="18"/>
      <c r="R2" s="18"/>
    </row>
    <row r="3" spans="1:18" ht="20.399999999999999" x14ac:dyDescent="0.3">
      <c r="A3" t="s">
        <v>38</v>
      </c>
      <c r="B3" s="3" t="s">
        <v>39</v>
      </c>
      <c r="C3" s="3" t="s">
        <v>40</v>
      </c>
      <c r="D3" s="3" t="s">
        <v>41</v>
      </c>
      <c r="E3" s="3" t="s">
        <v>42</v>
      </c>
      <c r="F3" s="3" t="s">
        <v>43</v>
      </c>
      <c r="G3" s="3" t="s">
        <v>44</v>
      </c>
      <c r="H3" s="5">
        <v>22317</v>
      </c>
      <c r="I3" s="3">
        <v>0.33</v>
      </c>
      <c r="J3" s="5">
        <v>64228</v>
      </c>
      <c r="K3" s="3" t="s">
        <v>45</v>
      </c>
      <c r="L3" s="3" t="s">
        <v>46</v>
      </c>
      <c r="M3" s="3" t="s">
        <v>47</v>
      </c>
      <c r="N3" s="3" t="s">
        <v>48</v>
      </c>
      <c r="O3" s="3" t="s">
        <v>49</v>
      </c>
      <c r="P3" s="3" t="s">
        <v>50</v>
      </c>
      <c r="Q3" s="3">
        <v>43</v>
      </c>
      <c r="R3" s="3" t="s">
        <v>51</v>
      </c>
    </row>
    <row r="4" spans="1:18" ht="20.399999999999999" x14ac:dyDescent="0.3">
      <c r="A4" t="s">
        <v>38</v>
      </c>
      <c r="B4" s="3" t="s">
        <v>52</v>
      </c>
      <c r="C4" s="3" t="s">
        <v>53</v>
      </c>
      <c r="D4" s="3" t="s">
        <v>54</v>
      </c>
      <c r="E4" s="3" t="s">
        <v>55</v>
      </c>
      <c r="F4" s="3" t="s">
        <v>56</v>
      </c>
      <c r="G4" s="3" t="s">
        <v>44</v>
      </c>
      <c r="H4" s="5">
        <v>10232</v>
      </c>
      <c r="I4" s="3">
        <v>0.98</v>
      </c>
      <c r="J4" s="5">
        <v>95130</v>
      </c>
      <c r="K4" s="3" t="s">
        <v>57</v>
      </c>
      <c r="L4" s="3" t="s">
        <v>58</v>
      </c>
      <c r="M4" s="3" t="s">
        <v>59</v>
      </c>
      <c r="N4" s="3" t="s">
        <v>60</v>
      </c>
      <c r="O4" s="3" t="s">
        <v>61</v>
      </c>
      <c r="P4" s="3" t="s">
        <v>62</v>
      </c>
      <c r="Q4" s="3">
        <v>84.8</v>
      </c>
      <c r="R4" s="3" t="s">
        <v>63</v>
      </c>
    </row>
    <row r="5" spans="1:18" ht="20.399999999999999" x14ac:dyDescent="0.3">
      <c r="A5" t="s">
        <v>38</v>
      </c>
      <c r="B5" s="3" t="s">
        <v>64</v>
      </c>
      <c r="C5" s="3" t="s">
        <v>65</v>
      </c>
      <c r="D5" s="3" t="s">
        <v>66</v>
      </c>
      <c r="E5" s="3" t="s">
        <v>67</v>
      </c>
      <c r="F5" s="3" t="s">
        <v>68</v>
      </c>
      <c r="G5" s="3" t="s">
        <v>44</v>
      </c>
      <c r="H5" s="3">
        <v>1530</v>
      </c>
      <c r="I5" s="3">
        <v>1.85</v>
      </c>
      <c r="J5" s="5">
        <v>19446</v>
      </c>
      <c r="K5" s="3" t="s">
        <v>69</v>
      </c>
      <c r="L5" s="3" t="s">
        <v>70</v>
      </c>
      <c r="M5" s="3" t="s">
        <v>71</v>
      </c>
      <c r="N5" s="3" t="s">
        <v>72</v>
      </c>
      <c r="O5" s="3" t="s">
        <v>73</v>
      </c>
      <c r="P5" s="3" t="s">
        <v>74</v>
      </c>
      <c r="Q5" s="3">
        <v>35.9</v>
      </c>
      <c r="R5" s="3" t="s">
        <v>75</v>
      </c>
    </row>
    <row r="6" spans="1:18" ht="20.399999999999999" x14ac:dyDescent="0.3">
      <c r="A6" t="s">
        <v>38</v>
      </c>
      <c r="B6" s="3" t="s">
        <v>76</v>
      </c>
      <c r="C6" s="3" t="s">
        <v>53</v>
      </c>
      <c r="D6" s="3" t="s">
        <v>77</v>
      </c>
      <c r="E6" s="3" t="s">
        <v>78</v>
      </c>
      <c r="F6" s="3" t="s">
        <v>68</v>
      </c>
      <c r="G6" s="3" t="s">
        <v>79</v>
      </c>
      <c r="H6" s="3">
        <v>5787</v>
      </c>
      <c r="I6" s="3">
        <v>3.21</v>
      </c>
      <c r="J6" s="5">
        <v>222261</v>
      </c>
      <c r="K6" s="3" t="s">
        <v>80</v>
      </c>
      <c r="L6" s="3" t="s">
        <v>81</v>
      </c>
      <c r="M6" s="3" t="s">
        <v>82</v>
      </c>
      <c r="N6" s="3" t="s">
        <v>83</v>
      </c>
      <c r="O6" s="3" t="s">
        <v>84</v>
      </c>
      <c r="P6" s="3" t="s">
        <v>85</v>
      </c>
      <c r="Q6" s="3">
        <v>100</v>
      </c>
      <c r="R6" s="3" t="s">
        <v>63</v>
      </c>
    </row>
    <row r="7" spans="1:18" ht="20.399999999999999" x14ac:dyDescent="0.3">
      <c r="A7" t="s">
        <v>38</v>
      </c>
      <c r="B7" s="3" t="s">
        <v>86</v>
      </c>
      <c r="C7" s="3" t="s">
        <v>87</v>
      </c>
      <c r="D7" s="3" t="s">
        <v>41</v>
      </c>
      <c r="E7" s="3" t="s">
        <v>55</v>
      </c>
      <c r="F7" s="3" t="s">
        <v>43</v>
      </c>
      <c r="G7" s="3" t="s">
        <v>44</v>
      </c>
      <c r="H7" s="3">
        <v>5290</v>
      </c>
      <c r="I7" s="3">
        <v>0.78</v>
      </c>
      <c r="J7" s="5">
        <v>40678</v>
      </c>
      <c r="K7" s="3" t="s">
        <v>45</v>
      </c>
      <c r="L7" s="3" t="s">
        <v>88</v>
      </c>
      <c r="M7" s="3" t="s">
        <v>89</v>
      </c>
      <c r="N7" s="3" t="s">
        <v>90</v>
      </c>
      <c r="O7" s="3" t="s">
        <v>91</v>
      </c>
      <c r="P7" s="3" t="s">
        <v>92</v>
      </c>
      <c r="Q7" s="3">
        <v>85.7</v>
      </c>
      <c r="R7" s="3" t="s">
        <v>93</v>
      </c>
    </row>
    <row r="8" spans="1:18" ht="20.399999999999999" x14ac:dyDescent="0.3">
      <c r="A8" t="s">
        <v>38</v>
      </c>
      <c r="B8" s="3" t="s">
        <v>94</v>
      </c>
      <c r="C8" s="3" t="s">
        <v>95</v>
      </c>
      <c r="D8" s="3" t="s">
        <v>54</v>
      </c>
      <c r="E8" s="3" t="s">
        <v>96</v>
      </c>
      <c r="F8" s="3" t="s">
        <v>68</v>
      </c>
      <c r="G8" s="3" t="s">
        <v>97</v>
      </c>
      <c r="H8" s="3">
        <v>7841</v>
      </c>
      <c r="I8" s="3">
        <v>2.46</v>
      </c>
      <c r="J8" s="5">
        <v>136827</v>
      </c>
      <c r="K8" s="3" t="s">
        <v>98</v>
      </c>
      <c r="L8" s="3" t="s">
        <v>99</v>
      </c>
      <c r="M8" s="3" t="s">
        <v>100</v>
      </c>
      <c r="N8" s="3" t="s">
        <v>101</v>
      </c>
      <c r="O8" s="3" t="s">
        <v>102</v>
      </c>
      <c r="P8" s="3" t="s">
        <v>103</v>
      </c>
      <c r="Q8" s="3">
        <v>95.3</v>
      </c>
      <c r="R8" s="3" t="s">
        <v>104</v>
      </c>
    </row>
    <row r="9" spans="1:18" ht="20.399999999999999" x14ac:dyDescent="0.3">
      <c r="A9" t="s">
        <v>38</v>
      </c>
      <c r="B9" s="3" t="s">
        <v>105</v>
      </c>
      <c r="C9" s="3" t="s">
        <v>106</v>
      </c>
      <c r="D9" s="3" t="s">
        <v>54</v>
      </c>
      <c r="E9" s="3" t="s">
        <v>107</v>
      </c>
      <c r="F9" s="3" t="s">
        <v>56</v>
      </c>
      <c r="G9" s="3" t="s">
        <v>44</v>
      </c>
      <c r="H9" s="3">
        <v>8038</v>
      </c>
      <c r="I9" s="3">
        <v>1.54</v>
      </c>
      <c r="J9" s="5">
        <v>104241</v>
      </c>
      <c r="K9" s="3" t="s">
        <v>98</v>
      </c>
      <c r="L9" s="3" t="s">
        <v>108</v>
      </c>
      <c r="M9" s="3" t="s">
        <v>109</v>
      </c>
      <c r="N9" s="3" t="s">
        <v>110</v>
      </c>
      <c r="O9" s="3" t="s">
        <v>111</v>
      </c>
      <c r="P9" s="3" t="s">
        <v>112</v>
      </c>
      <c r="Q9" s="3">
        <v>80.900000000000006</v>
      </c>
      <c r="R9" s="3" t="s">
        <v>113</v>
      </c>
    </row>
    <row r="10" spans="1:18" ht="20.399999999999999" x14ac:dyDescent="0.3">
      <c r="A10" t="s">
        <v>38</v>
      </c>
      <c r="B10" s="3" t="s">
        <v>114</v>
      </c>
      <c r="C10" s="3" t="s">
        <v>65</v>
      </c>
      <c r="D10" s="3" t="s">
        <v>66</v>
      </c>
      <c r="E10" s="3" t="s">
        <v>115</v>
      </c>
      <c r="F10" s="3" t="s">
        <v>68</v>
      </c>
      <c r="G10" s="3" t="s">
        <v>44</v>
      </c>
      <c r="H10" s="3">
        <v>760</v>
      </c>
      <c r="I10" s="3">
        <v>0.36</v>
      </c>
      <c r="J10" s="3">
        <v>1985</v>
      </c>
      <c r="K10" s="3" t="s">
        <v>69</v>
      </c>
      <c r="L10" s="3" t="s">
        <v>116</v>
      </c>
      <c r="M10" s="3" t="s">
        <v>117</v>
      </c>
      <c r="N10" s="3" t="s">
        <v>118</v>
      </c>
      <c r="O10" s="3" t="s">
        <v>119</v>
      </c>
      <c r="P10" s="3" t="s">
        <v>120</v>
      </c>
      <c r="Q10" s="3">
        <v>10.5</v>
      </c>
      <c r="R10" s="3" t="s">
        <v>113</v>
      </c>
    </row>
    <row r="11" spans="1:18" ht="20.399999999999999" x14ac:dyDescent="0.3">
      <c r="A11" t="s">
        <v>38</v>
      </c>
      <c r="B11" s="3" t="s">
        <v>121</v>
      </c>
      <c r="C11" s="3" t="s">
        <v>40</v>
      </c>
      <c r="D11" s="3" t="s">
        <v>122</v>
      </c>
      <c r="E11" s="3" t="s">
        <v>42</v>
      </c>
      <c r="F11" s="3" t="s">
        <v>43</v>
      </c>
      <c r="G11" s="3" t="s">
        <v>44</v>
      </c>
      <c r="H11" s="5">
        <v>17903</v>
      </c>
      <c r="I11" s="3">
        <v>0.24</v>
      </c>
      <c r="J11" s="5">
        <v>30519</v>
      </c>
      <c r="K11" s="3" t="s">
        <v>57</v>
      </c>
      <c r="L11" s="3" t="s">
        <v>123</v>
      </c>
      <c r="M11" s="3" t="s">
        <v>124</v>
      </c>
      <c r="N11" s="3" t="s">
        <v>125</v>
      </c>
      <c r="O11" s="3" t="s">
        <v>126</v>
      </c>
      <c r="P11" s="3" t="s">
        <v>127</v>
      </c>
      <c r="Q11" s="3">
        <v>29.4</v>
      </c>
      <c r="R11" s="3" t="s">
        <v>128</v>
      </c>
    </row>
    <row r="12" spans="1:18" ht="20.399999999999999" x14ac:dyDescent="0.3">
      <c r="A12" t="s">
        <v>129</v>
      </c>
      <c r="B12" s="3" t="s">
        <v>130</v>
      </c>
      <c r="C12" s="3" t="s">
        <v>131</v>
      </c>
      <c r="D12" s="3" t="s">
        <v>41</v>
      </c>
      <c r="E12" s="3" t="s">
        <v>55</v>
      </c>
      <c r="F12" s="3" t="s">
        <v>56</v>
      </c>
      <c r="G12" s="3" t="s">
        <v>132</v>
      </c>
      <c r="H12" s="5">
        <v>36127</v>
      </c>
      <c r="I12" s="3">
        <v>0.55000000000000004</v>
      </c>
      <c r="J12" s="5">
        <v>174078</v>
      </c>
      <c r="K12" s="3" t="s">
        <v>133</v>
      </c>
      <c r="L12" s="3" t="s">
        <v>134</v>
      </c>
      <c r="M12" s="3" t="s">
        <v>135</v>
      </c>
      <c r="N12" s="3" t="s">
        <v>136</v>
      </c>
      <c r="O12" s="3"/>
      <c r="P12" s="3" t="s">
        <v>137</v>
      </c>
      <c r="Q12" s="3">
        <v>68</v>
      </c>
      <c r="R12" s="3" t="s">
        <v>63</v>
      </c>
    </row>
    <row r="13" spans="1:18" ht="20.399999999999999" x14ac:dyDescent="0.3">
      <c r="A13" t="s">
        <v>138</v>
      </c>
      <c r="B13" s="3" t="s">
        <v>139</v>
      </c>
      <c r="C13" s="3" t="s">
        <v>140</v>
      </c>
      <c r="D13" s="3" t="s">
        <v>41</v>
      </c>
      <c r="E13" s="3" t="s">
        <v>141</v>
      </c>
      <c r="F13" s="3" t="s">
        <v>68</v>
      </c>
      <c r="G13" s="3" t="s">
        <v>44</v>
      </c>
      <c r="H13" s="5">
        <v>48882</v>
      </c>
      <c r="I13" s="3">
        <v>0.4</v>
      </c>
      <c r="J13" s="5">
        <v>164827</v>
      </c>
      <c r="K13" s="3" t="s">
        <v>69</v>
      </c>
      <c r="L13" s="3" t="s">
        <v>142</v>
      </c>
      <c r="M13" s="3" t="s">
        <v>143</v>
      </c>
      <c r="N13" s="3" t="s">
        <v>144</v>
      </c>
      <c r="O13" s="3" t="s">
        <v>145</v>
      </c>
      <c r="P13" s="3" t="s">
        <v>146</v>
      </c>
      <c r="Q13" s="3">
        <v>82.3</v>
      </c>
      <c r="R13" s="3" t="s">
        <v>147</v>
      </c>
    </row>
    <row r="14" spans="1:18" ht="20.399999999999999" x14ac:dyDescent="0.3">
      <c r="A14" t="s">
        <v>138</v>
      </c>
      <c r="B14" s="3" t="s">
        <v>148</v>
      </c>
      <c r="C14" s="3" t="s">
        <v>53</v>
      </c>
      <c r="D14" s="3" t="s">
        <v>66</v>
      </c>
      <c r="E14" s="3" t="s">
        <v>149</v>
      </c>
      <c r="F14" s="3" t="s">
        <v>56</v>
      </c>
      <c r="G14" s="3" t="s">
        <v>150</v>
      </c>
      <c r="H14" s="3">
        <v>2451</v>
      </c>
      <c r="I14" s="3">
        <v>2.0699999999999998</v>
      </c>
      <c r="J14" s="5">
        <v>87009</v>
      </c>
      <c r="K14" s="3" t="s">
        <v>151</v>
      </c>
      <c r="L14" s="3"/>
      <c r="M14" s="3"/>
      <c r="N14" s="3" t="s">
        <v>152</v>
      </c>
      <c r="O14" s="3" t="s">
        <v>153</v>
      </c>
      <c r="P14" s="3" t="s">
        <v>154</v>
      </c>
      <c r="Q14" s="3">
        <v>56.2</v>
      </c>
      <c r="R14" s="3" t="s">
        <v>155</v>
      </c>
    </row>
    <row r="15" spans="1:18" ht="20.399999999999999" x14ac:dyDescent="0.3">
      <c r="A15" t="s">
        <v>156</v>
      </c>
      <c r="B15" s="3" t="s">
        <v>157</v>
      </c>
      <c r="C15" s="3" t="s">
        <v>158</v>
      </c>
      <c r="D15" s="3" t="s">
        <v>159</v>
      </c>
      <c r="E15" s="3" t="s">
        <v>141</v>
      </c>
      <c r="F15" s="3" t="s">
        <v>43</v>
      </c>
      <c r="G15" s="3" t="s">
        <v>44</v>
      </c>
      <c r="H15" s="5">
        <v>23446</v>
      </c>
      <c r="I15" s="3">
        <v>1.05</v>
      </c>
      <c r="J15" s="5">
        <v>226932</v>
      </c>
      <c r="K15" s="3" t="s">
        <v>160</v>
      </c>
      <c r="L15" s="3" t="s">
        <v>161</v>
      </c>
      <c r="M15" s="3" t="s">
        <v>162</v>
      </c>
      <c r="N15" s="3" t="s">
        <v>163</v>
      </c>
      <c r="O15" s="3" t="s">
        <v>164</v>
      </c>
      <c r="P15" s="3" t="s">
        <v>165</v>
      </c>
      <c r="Q15" s="3">
        <v>91.3</v>
      </c>
      <c r="R15" s="3" t="s">
        <v>166</v>
      </c>
    </row>
    <row r="16" spans="1:18" ht="20.399999999999999" x14ac:dyDescent="0.3">
      <c r="A16" t="s">
        <v>156</v>
      </c>
      <c r="B16" s="3" t="s">
        <v>167</v>
      </c>
      <c r="C16" s="3" t="s">
        <v>158</v>
      </c>
      <c r="D16" s="3" t="s">
        <v>41</v>
      </c>
      <c r="E16" s="3" t="s">
        <v>141</v>
      </c>
      <c r="F16" s="3" t="s">
        <v>56</v>
      </c>
      <c r="G16" s="3" t="s">
        <v>168</v>
      </c>
      <c r="H16" s="5">
        <v>126120</v>
      </c>
      <c r="I16" s="3">
        <v>0.83</v>
      </c>
      <c r="J16" s="5">
        <v>888618</v>
      </c>
      <c r="K16" s="3" t="s">
        <v>169</v>
      </c>
      <c r="L16" s="3" t="s">
        <v>170</v>
      </c>
      <c r="M16" s="3" t="s">
        <v>171</v>
      </c>
      <c r="N16" s="3" t="s">
        <v>172</v>
      </c>
      <c r="O16" s="3" t="s">
        <v>161</v>
      </c>
      <c r="P16" s="3" t="s">
        <v>173</v>
      </c>
      <c r="Q16" s="3">
        <v>87.4</v>
      </c>
      <c r="R16" s="3" t="s">
        <v>174</v>
      </c>
    </row>
    <row r="17" spans="1:18" ht="20.399999999999999" x14ac:dyDescent="0.3">
      <c r="A17" t="s">
        <v>156</v>
      </c>
      <c r="B17" s="3" t="s">
        <v>175</v>
      </c>
      <c r="C17" s="3" t="s">
        <v>176</v>
      </c>
      <c r="D17" s="3" t="s">
        <v>41</v>
      </c>
      <c r="E17" s="3" t="s">
        <v>177</v>
      </c>
      <c r="F17" s="3" t="s">
        <v>56</v>
      </c>
      <c r="G17" s="3" t="s">
        <v>132</v>
      </c>
      <c r="H17" s="5">
        <v>44422</v>
      </c>
      <c r="I17" s="3">
        <v>1.1200000000000001</v>
      </c>
      <c r="J17" s="5">
        <v>479263</v>
      </c>
      <c r="K17" s="3" t="s">
        <v>169</v>
      </c>
      <c r="L17" s="3" t="s">
        <v>178</v>
      </c>
      <c r="M17" s="3" t="s">
        <v>179</v>
      </c>
      <c r="N17" s="3" t="s">
        <v>180</v>
      </c>
      <c r="O17" s="3" t="s">
        <v>181</v>
      </c>
      <c r="P17" s="3" t="s">
        <v>182</v>
      </c>
      <c r="Q17" s="3">
        <v>95</v>
      </c>
      <c r="R17" s="3" t="s">
        <v>155</v>
      </c>
    </row>
    <row r="18" spans="1:18" ht="20.399999999999999" x14ac:dyDescent="0.3">
      <c r="A18" t="s">
        <v>156</v>
      </c>
      <c r="B18" s="3" t="s">
        <v>183</v>
      </c>
      <c r="C18" s="3" t="s">
        <v>184</v>
      </c>
      <c r="D18" s="3" t="s">
        <v>54</v>
      </c>
      <c r="E18" s="3" t="s">
        <v>78</v>
      </c>
      <c r="F18" s="3" t="s">
        <v>43</v>
      </c>
      <c r="G18" s="3" t="s">
        <v>132</v>
      </c>
      <c r="H18" s="3">
        <v>7995</v>
      </c>
      <c r="I18" s="3">
        <v>1</v>
      </c>
      <c r="J18" s="5">
        <v>62626</v>
      </c>
      <c r="K18" s="3" t="s">
        <v>160</v>
      </c>
      <c r="L18" s="3"/>
      <c r="M18" s="3"/>
      <c r="N18" s="3" t="s">
        <v>185</v>
      </c>
      <c r="O18" s="3" t="s">
        <v>186</v>
      </c>
      <c r="P18" s="3" t="s">
        <v>187</v>
      </c>
      <c r="Q18" s="3">
        <v>100</v>
      </c>
      <c r="R18" s="3" t="s">
        <v>188</v>
      </c>
    </row>
    <row r="19" spans="1:18" ht="20.399999999999999" x14ac:dyDescent="0.3">
      <c r="A19" t="s">
        <v>156</v>
      </c>
      <c r="B19" s="3" t="s">
        <v>189</v>
      </c>
      <c r="C19" s="3" t="s">
        <v>158</v>
      </c>
      <c r="D19" s="3" t="s">
        <v>159</v>
      </c>
      <c r="E19" s="3" t="s">
        <v>141</v>
      </c>
      <c r="F19" s="3" t="s">
        <v>68</v>
      </c>
      <c r="G19" s="3" t="s">
        <v>79</v>
      </c>
      <c r="H19" s="5">
        <v>44053</v>
      </c>
      <c r="I19" s="3">
        <v>1</v>
      </c>
      <c r="J19" s="5">
        <v>409692</v>
      </c>
      <c r="K19" s="3" t="s">
        <v>160</v>
      </c>
      <c r="L19" s="3" t="s">
        <v>190</v>
      </c>
      <c r="M19" s="3" t="s">
        <v>191</v>
      </c>
      <c r="N19" s="3" t="s">
        <v>192</v>
      </c>
      <c r="O19" s="3" t="s">
        <v>193</v>
      </c>
      <c r="P19" s="3" t="s">
        <v>194</v>
      </c>
      <c r="Q19" s="3">
        <v>92.4</v>
      </c>
      <c r="R19" s="3" t="s">
        <v>174</v>
      </c>
    </row>
    <row r="20" spans="1:18" ht="20.399999999999999" x14ac:dyDescent="0.3">
      <c r="A20" t="s">
        <v>156</v>
      </c>
      <c r="B20" s="3" t="s">
        <v>195</v>
      </c>
      <c r="C20" s="3" t="s">
        <v>196</v>
      </c>
      <c r="D20" s="3" t="s">
        <v>41</v>
      </c>
      <c r="E20" s="3" t="s">
        <v>107</v>
      </c>
      <c r="F20" s="3" t="s">
        <v>56</v>
      </c>
      <c r="G20" s="3" t="s">
        <v>132</v>
      </c>
      <c r="H20" s="5">
        <v>116425</v>
      </c>
      <c r="I20" s="3">
        <v>1.25</v>
      </c>
      <c r="J20" s="5">
        <v>1242644</v>
      </c>
      <c r="K20" s="3" t="s">
        <v>169</v>
      </c>
      <c r="L20" s="3" t="s">
        <v>197</v>
      </c>
      <c r="M20" s="3" t="s">
        <v>198</v>
      </c>
      <c r="N20" s="3" t="s">
        <v>199</v>
      </c>
      <c r="O20" s="3" t="s">
        <v>200</v>
      </c>
      <c r="P20" s="3" t="s">
        <v>201</v>
      </c>
      <c r="Q20" s="3">
        <v>97.6</v>
      </c>
      <c r="R20" s="3" t="s">
        <v>202</v>
      </c>
    </row>
    <row r="21" spans="1:18" ht="20.399999999999999" x14ac:dyDescent="0.3">
      <c r="A21" t="s">
        <v>156</v>
      </c>
      <c r="B21" s="3" t="s">
        <v>203</v>
      </c>
      <c r="C21" s="3" t="s">
        <v>53</v>
      </c>
      <c r="D21" s="3" t="s">
        <v>41</v>
      </c>
      <c r="E21" s="3" t="s">
        <v>78</v>
      </c>
      <c r="F21" s="3" t="s">
        <v>56</v>
      </c>
      <c r="G21" s="3" t="s">
        <v>204</v>
      </c>
      <c r="H21" s="5">
        <v>41834</v>
      </c>
      <c r="I21" s="3">
        <v>0.31</v>
      </c>
      <c r="J21" s="5">
        <v>65937</v>
      </c>
      <c r="K21" s="3" t="s">
        <v>169</v>
      </c>
      <c r="L21" s="3" t="s">
        <v>205</v>
      </c>
      <c r="M21" s="3" t="s">
        <v>206</v>
      </c>
      <c r="N21" s="3" t="s">
        <v>207</v>
      </c>
      <c r="O21" s="3"/>
      <c r="P21" s="3" t="s">
        <v>208</v>
      </c>
      <c r="Q21" s="3">
        <v>100</v>
      </c>
      <c r="R21" s="3" t="s">
        <v>155</v>
      </c>
    </row>
    <row r="22" spans="1:18" ht="20.399999999999999" x14ac:dyDescent="0.3">
      <c r="A22" t="s">
        <v>156</v>
      </c>
      <c r="B22" s="3" t="s">
        <v>209</v>
      </c>
      <c r="C22" s="3" t="s">
        <v>184</v>
      </c>
      <c r="D22" s="3" t="s">
        <v>210</v>
      </c>
      <c r="E22" s="3" t="s">
        <v>141</v>
      </c>
      <c r="F22" s="3" t="s">
        <v>56</v>
      </c>
      <c r="G22" s="3" t="s">
        <v>132</v>
      </c>
      <c r="H22" s="5">
        <v>20469</v>
      </c>
      <c r="I22" s="3">
        <v>1.06</v>
      </c>
      <c r="J22" s="5">
        <v>228300</v>
      </c>
      <c r="K22" s="3" t="s">
        <v>160</v>
      </c>
      <c r="L22" s="3"/>
      <c r="M22" s="3"/>
      <c r="N22" s="3" t="s">
        <v>211</v>
      </c>
      <c r="O22" s="3" t="s">
        <v>212</v>
      </c>
      <c r="P22" s="3" t="s">
        <v>213</v>
      </c>
      <c r="Q22" s="3">
        <v>90.7</v>
      </c>
      <c r="R22" s="3" t="s">
        <v>188</v>
      </c>
    </row>
    <row r="23" spans="1:18" ht="20.399999999999999" x14ac:dyDescent="0.3">
      <c r="A23" t="s">
        <v>156</v>
      </c>
      <c r="B23" s="3" t="s">
        <v>214</v>
      </c>
      <c r="C23" s="3" t="s">
        <v>184</v>
      </c>
      <c r="D23" s="3" t="s">
        <v>54</v>
      </c>
      <c r="E23" s="3" t="s">
        <v>78</v>
      </c>
      <c r="F23" s="3" t="s">
        <v>56</v>
      </c>
      <c r="G23" s="3" t="s">
        <v>132</v>
      </c>
      <c r="H23" s="5">
        <v>14924</v>
      </c>
      <c r="I23" s="3">
        <v>0.69</v>
      </c>
      <c r="J23" s="5">
        <v>89957</v>
      </c>
      <c r="K23" s="3" t="s">
        <v>215</v>
      </c>
      <c r="L23" s="3"/>
      <c r="M23" s="3"/>
      <c r="N23" s="3" t="s">
        <v>216</v>
      </c>
      <c r="O23" s="3" t="s">
        <v>217</v>
      </c>
      <c r="P23" s="3" t="s">
        <v>218</v>
      </c>
      <c r="Q23" s="3">
        <v>100</v>
      </c>
      <c r="R23" s="3" t="s">
        <v>188</v>
      </c>
    </row>
    <row r="24" spans="1:18" ht="20.399999999999999" x14ac:dyDescent="0.3">
      <c r="A24" t="s">
        <v>156</v>
      </c>
      <c r="B24" s="3" t="s">
        <v>219</v>
      </c>
      <c r="C24" s="3" t="s">
        <v>184</v>
      </c>
      <c r="D24" s="3" t="s">
        <v>54</v>
      </c>
      <c r="E24" s="3" t="s">
        <v>78</v>
      </c>
      <c r="F24" s="3" t="s">
        <v>56</v>
      </c>
      <c r="G24" s="3" t="s">
        <v>220</v>
      </c>
      <c r="H24" s="5">
        <v>14418</v>
      </c>
      <c r="I24" s="3">
        <v>0.56000000000000005</v>
      </c>
      <c r="J24" s="5">
        <v>61093</v>
      </c>
      <c r="K24" s="3" t="s">
        <v>160</v>
      </c>
      <c r="L24" s="3"/>
      <c r="M24" s="3"/>
      <c r="N24" s="3" t="s">
        <v>221</v>
      </c>
      <c r="O24" s="3" t="s">
        <v>222</v>
      </c>
      <c r="P24" s="3" t="s">
        <v>223</v>
      </c>
      <c r="Q24" s="3">
        <v>100</v>
      </c>
      <c r="R24" s="3" t="s">
        <v>188</v>
      </c>
    </row>
    <row r="25" spans="1:18" ht="20.399999999999999" x14ac:dyDescent="0.3">
      <c r="A25" t="s">
        <v>156</v>
      </c>
      <c r="B25" s="3" t="s">
        <v>224</v>
      </c>
      <c r="C25" s="3" t="s">
        <v>158</v>
      </c>
      <c r="D25" s="3" t="s">
        <v>41</v>
      </c>
      <c r="E25" s="3" t="s">
        <v>141</v>
      </c>
      <c r="F25" s="3" t="s">
        <v>43</v>
      </c>
      <c r="G25" s="3" t="s">
        <v>168</v>
      </c>
      <c r="H25" s="5">
        <v>16704</v>
      </c>
      <c r="I25" s="3">
        <v>0.59</v>
      </c>
      <c r="J25" s="5">
        <v>74379</v>
      </c>
      <c r="K25" s="3" t="s">
        <v>160</v>
      </c>
      <c r="L25" s="3" t="s">
        <v>225</v>
      </c>
      <c r="M25" s="3" t="s">
        <v>226</v>
      </c>
      <c r="N25" s="3" t="s">
        <v>227</v>
      </c>
      <c r="O25" s="3" t="s">
        <v>228</v>
      </c>
      <c r="P25" s="3" t="s">
        <v>229</v>
      </c>
      <c r="Q25" s="3">
        <v>89.2</v>
      </c>
      <c r="R25" s="3" t="s">
        <v>174</v>
      </c>
    </row>
    <row r="26" spans="1:18" ht="20.399999999999999" x14ac:dyDescent="0.3">
      <c r="A26" t="s">
        <v>156</v>
      </c>
      <c r="B26" s="3" t="s">
        <v>230</v>
      </c>
      <c r="C26" s="3" t="s">
        <v>231</v>
      </c>
      <c r="D26" s="3" t="s">
        <v>41</v>
      </c>
      <c r="E26" s="3" t="s">
        <v>149</v>
      </c>
      <c r="F26" s="3" t="s">
        <v>56</v>
      </c>
      <c r="G26" s="3" t="s">
        <v>220</v>
      </c>
      <c r="H26" s="5">
        <v>17626</v>
      </c>
      <c r="I26" s="3">
        <v>0.86</v>
      </c>
      <c r="J26" s="5">
        <v>85000</v>
      </c>
      <c r="K26" s="3" t="s">
        <v>215</v>
      </c>
      <c r="L26" s="3" t="s">
        <v>232</v>
      </c>
      <c r="M26" s="3" t="s">
        <v>233</v>
      </c>
      <c r="N26" s="3" t="s">
        <v>234</v>
      </c>
      <c r="O26" s="3" t="s">
        <v>235</v>
      </c>
      <c r="P26" s="3" t="s">
        <v>236</v>
      </c>
      <c r="Q26" s="3">
        <v>94.3</v>
      </c>
      <c r="R26" s="3">
        <v>2008</v>
      </c>
    </row>
    <row r="27" spans="1:18" ht="20.399999999999999" x14ac:dyDescent="0.3">
      <c r="A27" t="s">
        <v>237</v>
      </c>
      <c r="B27" s="3" t="s">
        <v>238</v>
      </c>
      <c r="C27" s="3" t="s">
        <v>239</v>
      </c>
      <c r="D27" s="3" t="s">
        <v>66</v>
      </c>
      <c r="E27" s="3" t="s">
        <v>240</v>
      </c>
      <c r="F27" s="3" t="s">
        <v>68</v>
      </c>
      <c r="G27" s="3" t="s">
        <v>44</v>
      </c>
      <c r="H27" s="3">
        <v>1374</v>
      </c>
      <c r="I27" s="3">
        <v>1.08</v>
      </c>
      <c r="J27" s="5">
        <v>16650</v>
      </c>
      <c r="K27" s="3"/>
      <c r="L27" s="3" t="s">
        <v>241</v>
      </c>
      <c r="M27" s="3" t="s">
        <v>242</v>
      </c>
      <c r="N27" s="3" t="s">
        <v>243</v>
      </c>
      <c r="O27" s="3" t="s">
        <v>244</v>
      </c>
      <c r="P27" s="3" t="s">
        <v>245</v>
      </c>
      <c r="Q27" s="3">
        <v>51.8</v>
      </c>
      <c r="R27" s="3" t="s">
        <v>75</v>
      </c>
    </row>
    <row r="28" spans="1:18" ht="30.6" x14ac:dyDescent="0.3">
      <c r="A28" t="s">
        <v>246</v>
      </c>
      <c r="B28" s="3" t="s">
        <v>247</v>
      </c>
      <c r="C28" s="3" t="s">
        <v>65</v>
      </c>
      <c r="D28" s="3" t="s">
        <v>248</v>
      </c>
      <c r="E28" s="3" t="s">
        <v>55</v>
      </c>
      <c r="F28" s="3" t="s">
        <v>56</v>
      </c>
      <c r="G28" s="3" t="s">
        <v>220</v>
      </c>
      <c r="H28" s="3">
        <v>3646</v>
      </c>
      <c r="I28" s="3">
        <v>1.99</v>
      </c>
      <c r="J28" s="5">
        <v>53370</v>
      </c>
      <c r="K28" s="3" t="s">
        <v>69</v>
      </c>
      <c r="L28" s="3" t="s">
        <v>249</v>
      </c>
      <c r="M28" s="3" t="s">
        <v>250</v>
      </c>
      <c r="N28" s="3" t="s">
        <v>251</v>
      </c>
      <c r="O28" s="3" t="s">
        <v>252</v>
      </c>
      <c r="P28" s="3" t="s">
        <v>253</v>
      </c>
      <c r="Q28" s="3">
        <v>79</v>
      </c>
      <c r="R28" s="3" t="s">
        <v>75</v>
      </c>
    </row>
    <row r="29" spans="1:18" ht="30.6" x14ac:dyDescent="0.3">
      <c r="A29" t="s">
        <v>254</v>
      </c>
      <c r="B29" s="3" t="s">
        <v>255</v>
      </c>
      <c r="C29" s="3" t="s">
        <v>256</v>
      </c>
      <c r="D29" s="3" t="s">
        <v>257</v>
      </c>
      <c r="E29" s="3" t="s">
        <v>78</v>
      </c>
      <c r="F29" s="3" t="s">
        <v>68</v>
      </c>
      <c r="G29" s="3" t="s">
        <v>150</v>
      </c>
      <c r="H29" s="5">
        <v>16932</v>
      </c>
      <c r="I29" s="3">
        <v>0.61</v>
      </c>
      <c r="J29" s="5">
        <v>77656</v>
      </c>
      <c r="K29" s="3" t="s">
        <v>45</v>
      </c>
      <c r="L29" s="3" t="s">
        <v>258</v>
      </c>
      <c r="M29" s="3" t="s">
        <v>259</v>
      </c>
      <c r="N29" s="3" t="s">
        <v>260</v>
      </c>
      <c r="O29" s="3" t="s">
        <v>261</v>
      </c>
      <c r="P29" s="3" t="s">
        <v>262</v>
      </c>
      <c r="Q29" s="3">
        <v>70.8</v>
      </c>
      <c r="R29" s="3" t="s">
        <v>263</v>
      </c>
    </row>
    <row r="30" spans="1:18" ht="20.399999999999999" x14ac:dyDescent="0.3">
      <c r="A30" t="s">
        <v>264</v>
      </c>
      <c r="B30" s="3" t="s">
        <v>265</v>
      </c>
      <c r="C30" s="3" t="s">
        <v>239</v>
      </c>
      <c r="D30" s="3" t="s">
        <v>66</v>
      </c>
      <c r="E30" s="3" t="s">
        <v>149</v>
      </c>
      <c r="F30" s="3" t="s">
        <v>68</v>
      </c>
      <c r="G30" s="3" t="s">
        <v>44</v>
      </c>
      <c r="H30" s="3">
        <v>967</v>
      </c>
      <c r="I30" s="3">
        <v>3.78</v>
      </c>
      <c r="J30" s="5">
        <v>30229</v>
      </c>
      <c r="K30" s="3"/>
      <c r="L30" s="3" t="s">
        <v>266</v>
      </c>
      <c r="M30" s="3" t="s">
        <v>267</v>
      </c>
      <c r="N30" s="3" t="s">
        <v>268</v>
      </c>
      <c r="O30" s="3" t="s">
        <v>269</v>
      </c>
      <c r="P30" s="3" t="s">
        <v>270</v>
      </c>
      <c r="Q30" s="3">
        <v>65.7</v>
      </c>
      <c r="R30" s="3" t="s">
        <v>188</v>
      </c>
    </row>
    <row r="31" spans="1:18" ht="20.399999999999999" x14ac:dyDescent="0.3">
      <c r="A31" t="s">
        <v>271</v>
      </c>
      <c r="B31" s="3" t="s">
        <v>272</v>
      </c>
      <c r="C31" s="3" t="s">
        <v>53</v>
      </c>
      <c r="D31" s="3" t="s">
        <v>273</v>
      </c>
      <c r="E31" s="3" t="s">
        <v>55</v>
      </c>
      <c r="F31" s="3" t="s">
        <v>56</v>
      </c>
      <c r="G31" s="3" t="s">
        <v>132</v>
      </c>
      <c r="H31" s="3">
        <v>6944</v>
      </c>
      <c r="I31" s="3">
        <v>1.34</v>
      </c>
      <c r="J31" s="5">
        <v>103179</v>
      </c>
      <c r="K31" s="3" t="s">
        <v>69</v>
      </c>
      <c r="L31" s="3" t="s">
        <v>274</v>
      </c>
      <c r="M31" s="3" t="s">
        <v>275</v>
      </c>
      <c r="N31" s="3" t="s">
        <v>276</v>
      </c>
      <c r="O31" s="3"/>
      <c r="P31" s="3" t="s">
        <v>277</v>
      </c>
      <c r="Q31" s="3">
        <v>95.7</v>
      </c>
      <c r="R31" s="3" t="s">
        <v>155</v>
      </c>
    </row>
    <row r="32" spans="1:18" ht="20.399999999999999" x14ac:dyDescent="0.3">
      <c r="A32" t="s">
        <v>278</v>
      </c>
      <c r="B32" s="3" t="s">
        <v>279</v>
      </c>
      <c r="C32" s="3" t="s">
        <v>280</v>
      </c>
      <c r="D32" s="3" t="s">
        <v>41</v>
      </c>
      <c r="E32" s="3" t="s">
        <v>107</v>
      </c>
      <c r="F32" s="3" t="s">
        <v>56</v>
      </c>
      <c r="G32" s="3" t="s">
        <v>44</v>
      </c>
      <c r="H32" s="5">
        <v>24945</v>
      </c>
      <c r="I32" s="3">
        <v>0.83</v>
      </c>
      <c r="J32" s="5">
        <v>176460</v>
      </c>
      <c r="K32" s="3" t="s">
        <v>69</v>
      </c>
      <c r="L32" s="3" t="s">
        <v>281</v>
      </c>
      <c r="M32" s="3" t="s">
        <v>282</v>
      </c>
      <c r="N32" s="3" t="s">
        <v>283</v>
      </c>
      <c r="O32" s="3" t="s">
        <v>284</v>
      </c>
      <c r="P32" s="3" t="s">
        <v>285</v>
      </c>
      <c r="Q32" s="3">
        <v>69.599999999999994</v>
      </c>
      <c r="R32" s="3" t="s">
        <v>93</v>
      </c>
    </row>
    <row r="33" spans="1:18" ht="21" thickBot="1" x14ac:dyDescent="0.35">
      <c r="A33" t="s">
        <v>286</v>
      </c>
      <c r="B33" s="7" t="s">
        <v>287</v>
      </c>
      <c r="C33" s="7" t="s">
        <v>288</v>
      </c>
      <c r="D33" s="7" t="s">
        <v>41</v>
      </c>
      <c r="E33" s="7" t="s">
        <v>289</v>
      </c>
      <c r="F33" s="7" t="s">
        <v>56</v>
      </c>
      <c r="G33" s="7" t="s">
        <v>150</v>
      </c>
      <c r="H33" s="8">
        <v>48676</v>
      </c>
      <c r="I33" s="7">
        <v>0.59</v>
      </c>
      <c r="J33" s="8">
        <v>242122</v>
      </c>
      <c r="K33" s="7" t="s">
        <v>45</v>
      </c>
      <c r="L33" s="7"/>
      <c r="M33" s="7"/>
      <c r="N33" s="7" t="s">
        <v>290</v>
      </c>
      <c r="O33" s="7" t="s">
        <v>291</v>
      </c>
      <c r="P33" s="7" t="s">
        <v>292</v>
      </c>
      <c r="Q33" s="7">
        <v>58</v>
      </c>
      <c r="R33" s="7" t="s">
        <v>93</v>
      </c>
    </row>
    <row r="38" spans="1:18" x14ac:dyDescent="0.3">
      <c r="A38" s="1" t="s">
        <v>298</v>
      </c>
    </row>
    <row r="39" spans="1:18" x14ac:dyDescent="0.3">
      <c r="A39" t="s">
        <v>43</v>
      </c>
      <c r="B39" t="s">
        <v>386</v>
      </c>
    </row>
    <row r="40" spans="1:18" x14ac:dyDescent="0.3">
      <c r="A40" t="s">
        <v>56</v>
      </c>
      <c r="B40" t="s">
        <v>299</v>
      </c>
    </row>
    <row r="41" spans="1:18" x14ac:dyDescent="0.3">
      <c r="A41" t="s">
        <v>68</v>
      </c>
      <c r="B41" t="s">
        <v>300</v>
      </c>
    </row>
  </sheetData>
  <mergeCells count="15">
    <mergeCell ref="G1:G2"/>
    <mergeCell ref="B1:B2"/>
    <mergeCell ref="C1:C2"/>
    <mergeCell ref="D1:D2"/>
    <mergeCell ref="E1:E2"/>
    <mergeCell ref="F1:F2"/>
    <mergeCell ref="P1:P2"/>
    <mergeCell ref="Q1:Q2"/>
    <mergeCell ref="R1:R2"/>
    <mergeCell ref="H1:H2"/>
    <mergeCell ref="I1:I2"/>
    <mergeCell ref="J1:J2"/>
    <mergeCell ref="K1:K2"/>
    <mergeCell ref="M1:M2"/>
    <mergeCell ref="N1:N2"/>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D8B3F-1477-46AA-924B-7AD248B2BDA3}">
  <dimension ref="A1:J55"/>
  <sheetViews>
    <sheetView workbookViewId="0">
      <selection activeCell="H2" sqref="H2"/>
    </sheetView>
  </sheetViews>
  <sheetFormatPr defaultRowHeight="14.4" x14ac:dyDescent="0.3"/>
  <cols>
    <col min="1" max="1" width="14.109375" customWidth="1"/>
    <col min="2" max="2" width="18.33203125" bestFit="1" customWidth="1"/>
    <col min="3" max="7" width="14.109375" customWidth="1"/>
    <col min="8" max="8" width="23.33203125" bestFit="1" customWidth="1"/>
    <col min="9" max="10" width="14.109375" customWidth="1"/>
  </cols>
  <sheetData>
    <row r="1" spans="1:10" x14ac:dyDescent="0.3">
      <c r="A1" s="1" t="s">
        <v>309</v>
      </c>
      <c r="B1" s="1" t="s">
        <v>310</v>
      </c>
      <c r="C1" s="1" t="s">
        <v>311</v>
      </c>
      <c r="D1" s="1" t="s">
        <v>23</v>
      </c>
      <c r="E1" s="1" t="s">
        <v>312</v>
      </c>
      <c r="F1" s="1" t="s">
        <v>313</v>
      </c>
      <c r="G1" s="1" t="s">
        <v>314</v>
      </c>
      <c r="H1" s="1" t="s">
        <v>315</v>
      </c>
      <c r="I1" s="1" t="s">
        <v>316</v>
      </c>
      <c r="J1" s="1" t="s">
        <v>317</v>
      </c>
    </row>
    <row r="2" spans="1:10" x14ac:dyDescent="0.3">
      <c r="A2" t="s">
        <v>305</v>
      </c>
      <c r="B2" t="s">
        <v>318</v>
      </c>
      <c r="C2" t="s">
        <v>319</v>
      </c>
      <c r="D2" t="s">
        <v>299</v>
      </c>
      <c r="E2" t="s">
        <v>320</v>
      </c>
      <c r="F2" t="s">
        <v>321</v>
      </c>
      <c r="G2" s="4">
        <v>66362</v>
      </c>
      <c r="H2">
        <v>302</v>
      </c>
      <c r="I2" s="9">
        <v>0.161</v>
      </c>
      <c r="J2" s="9">
        <v>2.1999999999999999E-2</v>
      </c>
    </row>
    <row r="3" spans="1:10" x14ac:dyDescent="0.3">
      <c r="A3" t="s">
        <v>305</v>
      </c>
      <c r="B3" t="s">
        <v>322</v>
      </c>
      <c r="C3" t="s">
        <v>319</v>
      </c>
      <c r="D3" t="s">
        <v>386</v>
      </c>
      <c r="E3" t="s">
        <v>320</v>
      </c>
      <c r="F3" t="s">
        <v>323</v>
      </c>
      <c r="G3" s="4">
        <v>45681</v>
      </c>
      <c r="H3">
        <v>197</v>
      </c>
      <c r="I3" s="9">
        <v>0.111</v>
      </c>
      <c r="J3" s="9">
        <v>1.4999999999999999E-2</v>
      </c>
    </row>
    <row r="4" spans="1:10" x14ac:dyDescent="0.3">
      <c r="A4" t="s">
        <v>305</v>
      </c>
      <c r="B4" t="s">
        <v>324</v>
      </c>
      <c r="C4" t="s">
        <v>319</v>
      </c>
      <c r="D4" t="s">
        <v>299</v>
      </c>
      <c r="E4" t="s">
        <v>320</v>
      </c>
      <c r="F4" t="s">
        <v>321</v>
      </c>
      <c r="G4" s="4">
        <v>16091</v>
      </c>
      <c r="H4">
        <v>149</v>
      </c>
      <c r="I4" s="9">
        <v>3.9E-2</v>
      </c>
      <c r="J4" s="9">
        <v>5.0000000000000001E-3</v>
      </c>
    </row>
    <row r="5" spans="1:10" x14ac:dyDescent="0.3">
      <c r="A5" t="s">
        <v>305</v>
      </c>
      <c r="B5" t="s">
        <v>325</v>
      </c>
      <c r="C5" t="s">
        <v>319</v>
      </c>
      <c r="D5" t="s">
        <v>386</v>
      </c>
      <c r="E5" t="s">
        <v>320</v>
      </c>
      <c r="F5" t="s">
        <v>323</v>
      </c>
      <c r="G5" s="4">
        <v>13156</v>
      </c>
      <c r="H5">
        <v>49</v>
      </c>
      <c r="I5" s="9">
        <v>3.2000000000000001E-2</v>
      </c>
      <c r="J5" s="9">
        <v>4.0000000000000001E-3</v>
      </c>
    </row>
    <row r="6" spans="1:10" x14ac:dyDescent="0.3">
      <c r="A6" t="s">
        <v>305</v>
      </c>
      <c r="B6" t="s">
        <v>326</v>
      </c>
      <c r="C6" t="s">
        <v>319</v>
      </c>
      <c r="D6" t="s">
        <v>299</v>
      </c>
      <c r="E6" t="s">
        <v>320</v>
      </c>
      <c r="F6" t="s">
        <v>327</v>
      </c>
      <c r="G6" s="4">
        <v>12898</v>
      </c>
      <c r="H6">
        <v>72</v>
      </c>
      <c r="I6" s="9">
        <v>3.1E-2</v>
      </c>
      <c r="J6" s="9">
        <v>4.0000000000000001E-3</v>
      </c>
    </row>
    <row r="7" spans="1:10" x14ac:dyDescent="0.3">
      <c r="A7" t="s">
        <v>306</v>
      </c>
      <c r="B7" t="s">
        <v>328</v>
      </c>
      <c r="C7" t="s">
        <v>319</v>
      </c>
      <c r="D7" t="s">
        <v>386</v>
      </c>
      <c r="E7" t="s">
        <v>329</v>
      </c>
      <c r="F7" t="s">
        <v>321</v>
      </c>
      <c r="G7" s="4">
        <v>44915</v>
      </c>
      <c r="H7">
        <v>163</v>
      </c>
      <c r="I7" s="9">
        <v>9.2999999999999999E-2</v>
      </c>
      <c r="J7" s="9">
        <v>1.4999999999999999E-2</v>
      </c>
    </row>
    <row r="8" spans="1:10" x14ac:dyDescent="0.3">
      <c r="A8" t="s">
        <v>306</v>
      </c>
      <c r="B8" t="s">
        <v>330</v>
      </c>
      <c r="C8" t="s">
        <v>319</v>
      </c>
      <c r="D8" t="s">
        <v>299</v>
      </c>
      <c r="E8" t="s">
        <v>329</v>
      </c>
      <c r="F8" t="s">
        <v>321</v>
      </c>
      <c r="G8" s="4">
        <v>28292</v>
      </c>
      <c r="H8">
        <v>192</v>
      </c>
      <c r="I8" s="9">
        <v>5.8999999999999997E-2</v>
      </c>
      <c r="J8" s="9">
        <v>0.01</v>
      </c>
    </row>
    <row r="9" spans="1:10" x14ac:dyDescent="0.3">
      <c r="A9" t="s">
        <v>306</v>
      </c>
      <c r="B9" t="s">
        <v>331</v>
      </c>
      <c r="C9" t="s">
        <v>319</v>
      </c>
      <c r="D9" t="s">
        <v>386</v>
      </c>
      <c r="E9" t="s">
        <v>329</v>
      </c>
      <c r="F9" t="s">
        <v>323</v>
      </c>
      <c r="G9" s="4">
        <v>24989</v>
      </c>
      <c r="H9">
        <v>162</v>
      </c>
      <c r="I9" s="9">
        <v>5.1999999999999998E-2</v>
      </c>
      <c r="J9" s="9">
        <v>8.0000000000000002E-3</v>
      </c>
    </row>
    <row r="10" spans="1:10" x14ac:dyDescent="0.3">
      <c r="A10" t="s">
        <v>306</v>
      </c>
      <c r="B10" t="s">
        <v>332</v>
      </c>
      <c r="C10" t="s">
        <v>358</v>
      </c>
      <c r="D10" t="s">
        <v>299</v>
      </c>
      <c r="E10" t="s">
        <v>366</v>
      </c>
      <c r="F10" t="s">
        <v>321</v>
      </c>
      <c r="G10" s="4">
        <v>23843</v>
      </c>
      <c r="H10">
        <v>199</v>
      </c>
      <c r="I10" s="9">
        <v>0.05</v>
      </c>
      <c r="J10" s="9">
        <v>8.0000000000000002E-3</v>
      </c>
    </row>
    <row r="11" spans="1:10" x14ac:dyDescent="0.3">
      <c r="A11" t="s">
        <v>306</v>
      </c>
      <c r="B11" t="s">
        <v>333</v>
      </c>
      <c r="C11" t="s">
        <v>319</v>
      </c>
      <c r="D11" t="s">
        <v>299</v>
      </c>
      <c r="E11" t="s">
        <v>329</v>
      </c>
      <c r="F11" t="s">
        <v>321</v>
      </c>
      <c r="G11" s="4">
        <v>18433</v>
      </c>
      <c r="H11">
        <v>129</v>
      </c>
      <c r="I11" s="9">
        <v>3.7999999999999999E-2</v>
      </c>
      <c r="J11" s="9">
        <v>6.0000000000000001E-3</v>
      </c>
    </row>
    <row r="12" spans="1:10" x14ac:dyDescent="0.3">
      <c r="A12" t="s">
        <v>361</v>
      </c>
      <c r="B12" t="s">
        <v>334</v>
      </c>
      <c r="C12" t="s">
        <v>335</v>
      </c>
      <c r="D12" t="s">
        <v>386</v>
      </c>
      <c r="E12" t="s">
        <v>336</v>
      </c>
      <c r="F12" t="s">
        <v>323</v>
      </c>
      <c r="G12" s="4">
        <v>27950</v>
      </c>
      <c r="H12">
        <v>321</v>
      </c>
      <c r="I12" s="9">
        <v>7.5999999999999998E-2</v>
      </c>
      <c r="J12" s="9">
        <v>8.9999999999999993E-3</v>
      </c>
    </row>
    <row r="13" spans="1:10" x14ac:dyDescent="0.3">
      <c r="A13" t="s">
        <v>361</v>
      </c>
      <c r="B13" t="s">
        <v>337</v>
      </c>
      <c r="C13" t="s">
        <v>335</v>
      </c>
      <c r="D13" t="s">
        <v>386</v>
      </c>
      <c r="E13" t="s">
        <v>338</v>
      </c>
      <c r="F13" t="s">
        <v>323</v>
      </c>
      <c r="G13" s="4">
        <v>26500</v>
      </c>
      <c r="H13">
        <v>74</v>
      </c>
      <c r="I13" s="9">
        <v>7.1999999999999995E-2</v>
      </c>
      <c r="J13" s="9">
        <v>8.9999999999999993E-3</v>
      </c>
    </row>
    <row r="14" spans="1:10" x14ac:dyDescent="0.3">
      <c r="A14" t="s">
        <v>361</v>
      </c>
      <c r="B14" t="s">
        <v>339</v>
      </c>
      <c r="C14" t="s">
        <v>319</v>
      </c>
      <c r="D14" t="s">
        <v>300</v>
      </c>
      <c r="E14" t="s">
        <v>320</v>
      </c>
      <c r="F14" t="s">
        <v>321</v>
      </c>
      <c r="G14" s="4">
        <v>24515</v>
      </c>
      <c r="H14">
        <v>135</v>
      </c>
      <c r="I14" s="9">
        <v>6.7000000000000004E-2</v>
      </c>
      <c r="J14" s="9">
        <v>8.0000000000000002E-3</v>
      </c>
    </row>
    <row r="15" spans="1:10" x14ac:dyDescent="0.3">
      <c r="A15" t="s">
        <v>361</v>
      </c>
      <c r="B15" t="s">
        <v>340</v>
      </c>
      <c r="C15" t="s">
        <v>319</v>
      </c>
      <c r="D15" t="s">
        <v>299</v>
      </c>
      <c r="E15" t="s">
        <v>329</v>
      </c>
      <c r="F15" t="s">
        <v>321</v>
      </c>
      <c r="G15" s="4">
        <v>24411</v>
      </c>
      <c r="H15">
        <v>267</v>
      </c>
      <c r="I15" s="9">
        <v>6.7000000000000004E-2</v>
      </c>
      <c r="J15" s="9">
        <v>8.0000000000000002E-3</v>
      </c>
    </row>
    <row r="16" spans="1:10" x14ac:dyDescent="0.3">
      <c r="A16" t="s">
        <v>361</v>
      </c>
      <c r="B16" t="s">
        <v>341</v>
      </c>
      <c r="C16" t="s">
        <v>319</v>
      </c>
      <c r="D16" t="s">
        <v>386</v>
      </c>
      <c r="E16" t="s">
        <v>320</v>
      </c>
      <c r="F16" t="s">
        <v>323</v>
      </c>
      <c r="G16" s="4">
        <v>21869</v>
      </c>
      <c r="H16">
        <v>142</v>
      </c>
      <c r="I16" s="9">
        <v>0.06</v>
      </c>
      <c r="J16" s="9">
        <v>7.0000000000000001E-3</v>
      </c>
    </row>
    <row r="17" spans="1:10" x14ac:dyDescent="0.3">
      <c r="A17" t="s">
        <v>362</v>
      </c>
      <c r="B17" t="s">
        <v>342</v>
      </c>
      <c r="C17" t="s">
        <v>319</v>
      </c>
      <c r="D17" t="s">
        <v>299</v>
      </c>
      <c r="E17" t="s">
        <v>329</v>
      </c>
      <c r="F17" t="s">
        <v>321</v>
      </c>
      <c r="G17" s="4">
        <v>121848</v>
      </c>
      <c r="H17">
        <v>826</v>
      </c>
      <c r="I17" s="9">
        <v>0.104</v>
      </c>
      <c r="J17" t="s">
        <v>343</v>
      </c>
    </row>
    <row r="18" spans="1:10" x14ac:dyDescent="0.3">
      <c r="A18" t="s">
        <v>362</v>
      </c>
      <c r="B18" t="s">
        <v>195</v>
      </c>
      <c r="C18" t="s">
        <v>319</v>
      </c>
      <c r="D18" t="s">
        <v>299</v>
      </c>
      <c r="E18" t="s">
        <v>329</v>
      </c>
      <c r="F18" t="s">
        <v>327</v>
      </c>
      <c r="G18" s="4">
        <v>100906</v>
      </c>
      <c r="H18">
        <v>85</v>
      </c>
      <c r="I18" s="9">
        <v>8.5999999999999993E-2</v>
      </c>
      <c r="J18" s="9">
        <v>3.4000000000000002E-2</v>
      </c>
    </row>
    <row r="19" spans="1:10" x14ac:dyDescent="0.3">
      <c r="A19" t="s">
        <v>362</v>
      </c>
      <c r="B19" t="s">
        <v>189</v>
      </c>
      <c r="C19" t="s">
        <v>319</v>
      </c>
      <c r="D19" t="s">
        <v>386</v>
      </c>
      <c r="E19" t="s">
        <v>329</v>
      </c>
      <c r="F19" t="s">
        <v>323</v>
      </c>
      <c r="G19" s="4">
        <v>69575</v>
      </c>
      <c r="H19">
        <v>151</v>
      </c>
      <c r="I19" s="9">
        <v>5.8999999999999997E-2</v>
      </c>
      <c r="J19" s="9">
        <v>2.4E-2</v>
      </c>
    </row>
    <row r="20" spans="1:10" x14ac:dyDescent="0.3">
      <c r="A20" t="s">
        <v>362</v>
      </c>
      <c r="B20" t="s">
        <v>344</v>
      </c>
      <c r="C20" t="s">
        <v>319</v>
      </c>
      <c r="D20" t="s">
        <v>299</v>
      </c>
      <c r="E20" t="s">
        <v>329</v>
      </c>
      <c r="F20" t="s">
        <v>327</v>
      </c>
      <c r="G20" s="4">
        <v>62965</v>
      </c>
      <c r="H20">
        <v>163</v>
      </c>
      <c r="I20" s="9">
        <v>5.3999999999999999E-2</v>
      </c>
      <c r="J20" s="9">
        <v>2.1000000000000001E-2</v>
      </c>
    </row>
    <row r="21" spans="1:10" x14ac:dyDescent="0.3">
      <c r="A21" t="s">
        <v>362</v>
      </c>
      <c r="B21" t="s">
        <v>345</v>
      </c>
      <c r="C21" t="s">
        <v>319</v>
      </c>
      <c r="D21" t="s">
        <v>299</v>
      </c>
      <c r="E21" t="s">
        <v>329</v>
      </c>
      <c r="F21" t="s">
        <v>327</v>
      </c>
      <c r="G21" s="4">
        <v>53699</v>
      </c>
      <c r="H21">
        <v>118</v>
      </c>
      <c r="I21" s="9">
        <v>4.5999999999999999E-2</v>
      </c>
      <c r="J21" s="9">
        <v>1.7999999999999999E-2</v>
      </c>
    </row>
    <row r="22" spans="1:10" x14ac:dyDescent="0.3">
      <c r="A22" t="s">
        <v>307</v>
      </c>
      <c r="B22" t="s">
        <v>346</v>
      </c>
      <c r="C22" t="s">
        <v>319</v>
      </c>
      <c r="D22" t="s">
        <v>299</v>
      </c>
      <c r="E22" t="s">
        <v>329</v>
      </c>
      <c r="F22" t="s">
        <v>327</v>
      </c>
      <c r="G22" s="4">
        <v>53057</v>
      </c>
      <c r="H22">
        <v>115</v>
      </c>
      <c r="I22" s="9">
        <v>0.158</v>
      </c>
      <c r="J22" s="9">
        <v>1.7999999999999999E-2</v>
      </c>
    </row>
    <row r="23" spans="1:10" x14ac:dyDescent="0.3">
      <c r="A23" t="s">
        <v>307</v>
      </c>
      <c r="B23" t="s">
        <v>347</v>
      </c>
      <c r="C23" t="s">
        <v>319</v>
      </c>
      <c r="D23" t="s">
        <v>386</v>
      </c>
      <c r="E23" t="s">
        <v>329</v>
      </c>
      <c r="F23" t="s">
        <v>323</v>
      </c>
      <c r="G23" s="4">
        <v>22962</v>
      </c>
      <c r="H23">
        <v>123</v>
      </c>
      <c r="I23" s="9">
        <v>6.8000000000000005E-2</v>
      </c>
      <c r="J23" s="9">
        <v>8.0000000000000002E-3</v>
      </c>
    </row>
    <row r="24" spans="1:10" x14ac:dyDescent="0.3">
      <c r="A24" t="s">
        <v>307</v>
      </c>
      <c r="B24" t="s">
        <v>139</v>
      </c>
      <c r="C24" t="s">
        <v>319</v>
      </c>
      <c r="D24" t="s">
        <v>299</v>
      </c>
      <c r="E24" t="s">
        <v>329</v>
      </c>
      <c r="F24" t="s">
        <v>321</v>
      </c>
      <c r="G24" s="4">
        <v>19588</v>
      </c>
      <c r="H24">
        <v>161</v>
      </c>
      <c r="I24" s="9">
        <v>5.8000000000000003E-2</v>
      </c>
      <c r="J24" s="9">
        <v>7.0000000000000001E-3</v>
      </c>
    </row>
    <row r="25" spans="1:10" x14ac:dyDescent="0.3">
      <c r="A25" t="s">
        <v>307</v>
      </c>
      <c r="B25" t="s">
        <v>348</v>
      </c>
      <c r="C25" t="s">
        <v>319</v>
      </c>
      <c r="D25" t="s">
        <v>386</v>
      </c>
      <c r="E25" t="s">
        <v>329</v>
      </c>
      <c r="F25" t="s">
        <v>321</v>
      </c>
      <c r="G25" s="4">
        <v>18549</v>
      </c>
      <c r="H25">
        <v>379</v>
      </c>
      <c r="I25" s="9">
        <v>5.5E-2</v>
      </c>
      <c r="J25" s="9">
        <v>6.0000000000000001E-3</v>
      </c>
    </row>
    <row r="26" spans="1:10" x14ac:dyDescent="0.3">
      <c r="A26" t="s">
        <v>307</v>
      </c>
      <c r="B26" t="s">
        <v>349</v>
      </c>
      <c r="C26" t="s">
        <v>319</v>
      </c>
      <c r="D26" t="s">
        <v>299</v>
      </c>
      <c r="E26" t="s">
        <v>329</v>
      </c>
      <c r="F26" t="s">
        <v>327</v>
      </c>
      <c r="G26" s="4">
        <v>15041</v>
      </c>
      <c r="H26">
        <v>152</v>
      </c>
      <c r="I26" s="9">
        <v>4.4999999999999998E-2</v>
      </c>
      <c r="J26" s="9">
        <v>5.0000000000000001E-3</v>
      </c>
    </row>
    <row r="27" spans="1:10" x14ac:dyDescent="0.3">
      <c r="A27" t="s">
        <v>308</v>
      </c>
      <c r="B27" t="s">
        <v>350</v>
      </c>
      <c r="C27" t="s">
        <v>335</v>
      </c>
      <c r="D27" t="s">
        <v>386</v>
      </c>
      <c r="E27" t="s">
        <v>338</v>
      </c>
      <c r="F27" t="s">
        <v>327</v>
      </c>
      <c r="G27" s="4">
        <v>21787</v>
      </c>
      <c r="H27">
        <v>750</v>
      </c>
      <c r="I27" s="9">
        <v>0.158</v>
      </c>
      <c r="J27" s="9">
        <v>7.0000000000000001E-3</v>
      </c>
    </row>
    <row r="28" spans="1:10" x14ac:dyDescent="0.3">
      <c r="A28" t="s">
        <v>308</v>
      </c>
      <c r="B28" t="s">
        <v>121</v>
      </c>
      <c r="C28" t="s">
        <v>335</v>
      </c>
      <c r="D28" t="s">
        <v>386</v>
      </c>
      <c r="E28" t="s">
        <v>338</v>
      </c>
      <c r="F28" t="s">
        <v>327</v>
      </c>
      <c r="G28" s="4">
        <v>17744</v>
      </c>
      <c r="H28">
        <v>1181</v>
      </c>
      <c r="I28" s="9">
        <v>0.129</v>
      </c>
      <c r="J28" s="9">
        <v>6.0000000000000001E-3</v>
      </c>
    </row>
    <row r="29" spans="1:10" x14ac:dyDescent="0.3">
      <c r="A29" t="s">
        <v>308</v>
      </c>
      <c r="B29" t="s">
        <v>351</v>
      </c>
      <c r="C29" t="s">
        <v>319</v>
      </c>
      <c r="D29" t="s">
        <v>386</v>
      </c>
      <c r="E29" t="s">
        <v>320</v>
      </c>
      <c r="F29" t="s">
        <v>323</v>
      </c>
      <c r="G29" s="4">
        <v>13433</v>
      </c>
      <c r="H29">
        <v>61</v>
      </c>
      <c r="I29" s="9">
        <v>9.7000000000000003E-2</v>
      </c>
      <c r="J29" s="9">
        <v>5.0000000000000001E-3</v>
      </c>
    </row>
    <row r="30" spans="1:10" x14ac:dyDescent="0.3">
      <c r="A30" t="s">
        <v>308</v>
      </c>
      <c r="B30" t="s">
        <v>352</v>
      </c>
      <c r="C30" t="s">
        <v>335</v>
      </c>
      <c r="D30" t="s">
        <v>386</v>
      </c>
      <c r="E30" t="s">
        <v>329</v>
      </c>
      <c r="F30" t="s">
        <v>321</v>
      </c>
      <c r="G30" s="4">
        <v>13420</v>
      </c>
      <c r="H30">
        <v>148</v>
      </c>
      <c r="I30" s="9">
        <v>9.7000000000000003E-2</v>
      </c>
      <c r="J30" s="9">
        <v>5.0000000000000001E-3</v>
      </c>
    </row>
    <row r="31" spans="1:10" x14ac:dyDescent="0.3">
      <c r="A31" t="s">
        <v>308</v>
      </c>
      <c r="B31" t="s">
        <v>279</v>
      </c>
      <c r="C31" t="s">
        <v>319</v>
      </c>
      <c r="D31" t="s">
        <v>386</v>
      </c>
      <c r="E31" t="s">
        <v>329</v>
      </c>
      <c r="F31" t="s">
        <v>321</v>
      </c>
      <c r="G31" s="4">
        <v>12054</v>
      </c>
      <c r="H31">
        <v>119</v>
      </c>
      <c r="I31" s="9">
        <v>8.6999999999999994E-2</v>
      </c>
      <c r="J31" s="9">
        <v>4.0000000000000001E-3</v>
      </c>
    </row>
    <row r="32" spans="1:10" x14ac:dyDescent="0.3">
      <c r="A32" t="s">
        <v>363</v>
      </c>
      <c r="B32" t="s">
        <v>353</v>
      </c>
      <c r="C32" t="s">
        <v>319</v>
      </c>
      <c r="D32" t="s">
        <v>299</v>
      </c>
      <c r="E32" t="s">
        <v>329</v>
      </c>
      <c r="F32" t="s">
        <v>327</v>
      </c>
      <c r="G32" s="4">
        <v>29359</v>
      </c>
      <c r="H32">
        <v>172</v>
      </c>
      <c r="I32" s="9">
        <v>0.56000000000000005</v>
      </c>
      <c r="J32" s="9">
        <v>0.01</v>
      </c>
    </row>
    <row r="33" spans="1:10" x14ac:dyDescent="0.3">
      <c r="A33" t="s">
        <v>363</v>
      </c>
      <c r="B33" t="s">
        <v>354</v>
      </c>
      <c r="C33" t="s">
        <v>319</v>
      </c>
      <c r="D33" t="s">
        <v>299</v>
      </c>
      <c r="E33" t="s">
        <v>329</v>
      </c>
      <c r="F33" t="s">
        <v>323</v>
      </c>
      <c r="G33" s="4">
        <v>13437</v>
      </c>
      <c r="H33">
        <v>149</v>
      </c>
      <c r="I33" s="9">
        <v>0.25600000000000001</v>
      </c>
      <c r="J33" s="9">
        <v>5.0000000000000001E-3</v>
      </c>
    </row>
    <row r="34" spans="1:10" x14ac:dyDescent="0.3">
      <c r="A34" t="s">
        <v>363</v>
      </c>
      <c r="B34" t="s">
        <v>355</v>
      </c>
      <c r="C34" t="s">
        <v>319</v>
      </c>
      <c r="D34" t="s">
        <v>386</v>
      </c>
      <c r="E34" t="s">
        <v>356</v>
      </c>
      <c r="F34" t="s">
        <v>321</v>
      </c>
      <c r="G34" s="4">
        <v>5370</v>
      </c>
      <c r="H34">
        <v>90</v>
      </c>
      <c r="I34" s="9">
        <v>0.10299999999999999</v>
      </c>
      <c r="J34" s="9">
        <v>2E-3</v>
      </c>
    </row>
    <row r="35" spans="1:10" x14ac:dyDescent="0.3">
      <c r="A35" t="s">
        <v>363</v>
      </c>
      <c r="B35" t="s">
        <v>357</v>
      </c>
      <c r="C35" t="s">
        <v>358</v>
      </c>
      <c r="D35" t="s">
        <v>386</v>
      </c>
      <c r="E35" t="s">
        <v>329</v>
      </c>
      <c r="F35" t="s">
        <v>321</v>
      </c>
      <c r="G35" s="4">
        <v>2294</v>
      </c>
      <c r="H35">
        <v>71</v>
      </c>
      <c r="I35" s="9">
        <v>4.3999999999999997E-2</v>
      </c>
      <c r="J35" s="9">
        <v>1E-3</v>
      </c>
    </row>
    <row r="36" spans="1:10" x14ac:dyDescent="0.3">
      <c r="A36" t="s">
        <v>363</v>
      </c>
      <c r="B36" t="s">
        <v>359</v>
      </c>
      <c r="C36" t="s">
        <v>319</v>
      </c>
      <c r="D36" t="s">
        <v>299</v>
      </c>
      <c r="E36" t="s">
        <v>329</v>
      </c>
      <c r="F36" t="s">
        <v>321</v>
      </c>
      <c r="G36" s="4">
        <v>1927</v>
      </c>
      <c r="H36">
        <v>160</v>
      </c>
      <c r="I36" s="9">
        <v>3.6999999999999998E-2</v>
      </c>
      <c r="J36" s="9">
        <v>1E-3</v>
      </c>
    </row>
    <row r="37" spans="1:10" x14ac:dyDescent="0.3">
      <c r="A37" t="s">
        <v>360</v>
      </c>
      <c r="B37" t="s">
        <v>342</v>
      </c>
      <c r="C37" t="s">
        <v>319</v>
      </c>
      <c r="D37" t="s">
        <v>299</v>
      </c>
      <c r="E37" t="s">
        <v>329</v>
      </c>
      <c r="F37" t="s">
        <v>321</v>
      </c>
      <c r="G37" s="4">
        <v>121848</v>
      </c>
      <c r="H37">
        <v>826</v>
      </c>
      <c r="I37" s="9">
        <v>0.104</v>
      </c>
      <c r="J37" s="9">
        <v>4.1000000000000002E-2</v>
      </c>
    </row>
    <row r="38" spans="1:10" x14ac:dyDescent="0.3">
      <c r="A38" t="s">
        <v>360</v>
      </c>
      <c r="B38" t="s">
        <v>195</v>
      </c>
      <c r="C38" t="s">
        <v>319</v>
      </c>
      <c r="D38" t="s">
        <v>299</v>
      </c>
      <c r="E38" t="s">
        <v>329</v>
      </c>
      <c r="F38" t="s">
        <v>327</v>
      </c>
      <c r="G38" s="4">
        <v>100906</v>
      </c>
      <c r="H38">
        <v>85</v>
      </c>
      <c r="I38" s="9">
        <v>8.5999999999999993E-2</v>
      </c>
      <c r="J38" s="9">
        <v>3.4000000000000002E-2</v>
      </c>
    </row>
    <row r="39" spans="1:10" x14ac:dyDescent="0.3">
      <c r="A39" t="s">
        <v>360</v>
      </c>
      <c r="B39" t="s">
        <v>189</v>
      </c>
      <c r="C39" t="s">
        <v>319</v>
      </c>
      <c r="D39" t="s">
        <v>386</v>
      </c>
      <c r="E39" t="s">
        <v>329</v>
      </c>
      <c r="F39" t="s">
        <v>323</v>
      </c>
      <c r="G39" s="4">
        <v>69575</v>
      </c>
      <c r="H39">
        <v>151</v>
      </c>
      <c r="I39" s="9">
        <v>5.8999999999999997E-2</v>
      </c>
      <c r="J39" s="9">
        <v>2.4E-2</v>
      </c>
    </row>
    <row r="40" spans="1:10" x14ac:dyDescent="0.3">
      <c r="A40" t="s">
        <v>360</v>
      </c>
      <c r="B40" t="s">
        <v>318</v>
      </c>
      <c r="C40" t="s">
        <v>319</v>
      </c>
      <c r="D40" t="s">
        <v>299</v>
      </c>
      <c r="E40" t="s">
        <v>320</v>
      </c>
      <c r="F40" t="s">
        <v>321</v>
      </c>
      <c r="G40" s="4">
        <v>66362</v>
      </c>
      <c r="H40">
        <v>302</v>
      </c>
      <c r="I40" s="9">
        <v>0.161</v>
      </c>
      <c r="J40" s="9">
        <v>2.1999999999999999E-2</v>
      </c>
    </row>
    <row r="41" spans="1:10" x14ac:dyDescent="0.3">
      <c r="A41" t="s">
        <v>360</v>
      </c>
      <c r="B41" t="s">
        <v>344</v>
      </c>
      <c r="C41" t="s">
        <v>319</v>
      </c>
      <c r="D41" t="s">
        <v>299</v>
      </c>
      <c r="E41" t="s">
        <v>329</v>
      </c>
      <c r="F41" t="s">
        <v>327</v>
      </c>
      <c r="G41" s="4">
        <v>62965</v>
      </c>
      <c r="H41">
        <v>163</v>
      </c>
      <c r="I41" s="9">
        <v>5.3999999999999999E-2</v>
      </c>
      <c r="J41" s="9">
        <v>2.1000000000000001E-2</v>
      </c>
    </row>
    <row r="45" spans="1:10" x14ac:dyDescent="0.3">
      <c r="A45" s="1" t="s">
        <v>298</v>
      </c>
    </row>
    <row r="46" spans="1:10" x14ac:dyDescent="0.3">
      <c r="A46" t="s">
        <v>320</v>
      </c>
      <c r="B46" t="s">
        <v>368</v>
      </c>
    </row>
    <row r="47" spans="1:10" x14ac:dyDescent="0.3">
      <c r="A47" t="s">
        <v>329</v>
      </c>
      <c r="B47" t="s">
        <v>367</v>
      </c>
    </row>
    <row r="48" spans="1:10" x14ac:dyDescent="0.3">
      <c r="A48" t="s">
        <v>366</v>
      </c>
      <c r="B48" t="s">
        <v>369</v>
      </c>
    </row>
    <row r="49" spans="1:2" x14ac:dyDescent="0.3">
      <c r="A49" s="10" t="s">
        <v>356</v>
      </c>
      <c r="B49" t="s">
        <v>372</v>
      </c>
    </row>
    <row r="50" spans="1:2" x14ac:dyDescent="0.3">
      <c r="A50" t="s">
        <v>338</v>
      </c>
      <c r="B50" t="s">
        <v>371</v>
      </c>
    </row>
    <row r="51" spans="1:2" x14ac:dyDescent="0.3">
      <c r="A51" t="s">
        <v>336</v>
      </c>
      <c r="B51" t="s">
        <v>370</v>
      </c>
    </row>
    <row r="54" spans="1:2" x14ac:dyDescent="0.3">
      <c r="A54" t="s">
        <v>319</v>
      </c>
      <c r="B54" t="s">
        <v>374</v>
      </c>
    </row>
    <row r="55" spans="1:2" x14ac:dyDescent="0.3">
      <c r="A55" t="s">
        <v>335</v>
      </c>
      <c r="B55" t="s">
        <v>373</v>
      </c>
    </row>
  </sheetData>
  <autoFilter ref="A1:J41" xr:uid="{591D8B3F-1477-46AA-924B-7AD248B2BDA3}"/>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61A2-DBF1-4719-A095-9F2D7C38F2CD}">
  <dimension ref="A1:G35"/>
  <sheetViews>
    <sheetView workbookViewId="0">
      <selection activeCell="F30" sqref="F30"/>
    </sheetView>
  </sheetViews>
  <sheetFormatPr defaultRowHeight="14.4" x14ac:dyDescent="0.3"/>
  <cols>
    <col min="1" max="1" width="26.77734375" customWidth="1"/>
    <col min="2" max="2" width="29.77734375" bestFit="1" customWidth="1"/>
    <col min="3" max="3" width="46.77734375" bestFit="1" customWidth="1"/>
    <col min="4" max="4" width="13.77734375" bestFit="1" customWidth="1"/>
    <col min="5" max="5" width="56.21875" bestFit="1" customWidth="1"/>
    <col min="6" max="6" width="34.109375" bestFit="1" customWidth="1"/>
    <col min="7" max="7" width="56.33203125" bestFit="1" customWidth="1"/>
  </cols>
  <sheetData>
    <row r="1" spans="1:7" x14ac:dyDescent="0.3">
      <c r="A1" s="1" t="s">
        <v>400</v>
      </c>
    </row>
    <row r="2" spans="1:7" x14ac:dyDescent="0.3">
      <c r="A2" t="s">
        <v>401</v>
      </c>
      <c r="B2" t="s">
        <v>402</v>
      </c>
      <c r="C2" t="s">
        <v>403</v>
      </c>
      <c r="D2" t="s">
        <v>404</v>
      </c>
      <c r="E2" t="s">
        <v>405</v>
      </c>
      <c r="F2" t="s">
        <v>406</v>
      </c>
      <c r="G2" t="s">
        <v>407</v>
      </c>
    </row>
    <row r="3" spans="1:7" x14ac:dyDescent="0.3">
      <c r="A3" t="s">
        <v>425</v>
      </c>
      <c r="B3" t="s">
        <v>408</v>
      </c>
      <c r="C3">
        <v>104</v>
      </c>
      <c r="D3" t="s">
        <v>409</v>
      </c>
      <c r="E3">
        <v>0.2</v>
      </c>
      <c r="F3">
        <v>0.68</v>
      </c>
      <c r="G3">
        <v>43.9</v>
      </c>
    </row>
    <row r="4" spans="1:7" x14ac:dyDescent="0.3">
      <c r="A4" t="s">
        <v>425</v>
      </c>
      <c r="B4" t="s">
        <v>230</v>
      </c>
      <c r="C4">
        <v>85</v>
      </c>
      <c r="D4" t="s">
        <v>409</v>
      </c>
      <c r="E4">
        <v>0.13</v>
      </c>
      <c r="F4">
        <v>0.9</v>
      </c>
      <c r="G4">
        <v>21.6</v>
      </c>
    </row>
    <row r="5" spans="1:7" x14ac:dyDescent="0.3">
      <c r="A5" t="s">
        <v>425</v>
      </c>
      <c r="B5" t="s">
        <v>410</v>
      </c>
      <c r="C5">
        <v>58</v>
      </c>
      <c r="D5" t="s">
        <v>411</v>
      </c>
      <c r="E5">
        <v>0.08</v>
      </c>
      <c r="F5">
        <v>0.9</v>
      </c>
      <c r="G5">
        <v>13.3</v>
      </c>
    </row>
    <row r="6" spans="1:7" x14ac:dyDescent="0.3">
      <c r="A6" t="s">
        <v>420</v>
      </c>
      <c r="B6" t="s">
        <v>412</v>
      </c>
      <c r="C6">
        <v>166</v>
      </c>
      <c r="D6" t="s">
        <v>413</v>
      </c>
      <c r="E6">
        <v>0.11</v>
      </c>
      <c r="F6">
        <v>0.47</v>
      </c>
      <c r="G6">
        <v>34.9</v>
      </c>
    </row>
    <row r="7" spans="1:7" x14ac:dyDescent="0.3">
      <c r="A7" t="s">
        <v>420</v>
      </c>
      <c r="B7" t="s">
        <v>167</v>
      </c>
      <c r="C7">
        <v>108</v>
      </c>
      <c r="D7" t="s">
        <v>414</v>
      </c>
      <c r="E7">
        <v>0.17</v>
      </c>
      <c r="F7">
        <v>0.8</v>
      </c>
      <c r="G7">
        <v>30.4</v>
      </c>
    </row>
    <row r="8" spans="1:7" x14ac:dyDescent="0.3">
      <c r="A8" t="s">
        <v>420</v>
      </c>
      <c r="B8" t="s">
        <v>415</v>
      </c>
      <c r="C8">
        <v>165</v>
      </c>
      <c r="D8" t="s">
        <v>413</v>
      </c>
      <c r="E8">
        <v>0.13</v>
      </c>
      <c r="F8">
        <v>1.4</v>
      </c>
      <c r="G8">
        <v>13.9</v>
      </c>
    </row>
    <row r="9" spans="1:7" x14ac:dyDescent="0.3">
      <c r="A9" t="s">
        <v>420</v>
      </c>
      <c r="B9" t="s">
        <v>416</v>
      </c>
      <c r="C9">
        <v>91</v>
      </c>
      <c r="D9" t="s">
        <v>413</v>
      </c>
      <c r="E9">
        <v>0.26</v>
      </c>
      <c r="F9">
        <v>0.9</v>
      </c>
      <c r="G9">
        <v>43.1</v>
      </c>
    </row>
    <row r="10" spans="1:7" x14ac:dyDescent="0.3">
      <c r="A10" t="s">
        <v>420</v>
      </c>
      <c r="B10" t="s">
        <v>417</v>
      </c>
      <c r="C10">
        <v>68</v>
      </c>
      <c r="D10" t="s">
        <v>413</v>
      </c>
      <c r="E10">
        <v>0.13</v>
      </c>
      <c r="F10">
        <v>0.41</v>
      </c>
      <c r="G10">
        <v>47.3</v>
      </c>
    </row>
    <row r="11" spans="1:7" x14ac:dyDescent="0.3">
      <c r="A11" t="s">
        <v>420</v>
      </c>
      <c r="B11" t="s">
        <v>418</v>
      </c>
      <c r="C11">
        <v>134</v>
      </c>
      <c r="D11" t="s">
        <v>413</v>
      </c>
      <c r="E11">
        <v>0.13</v>
      </c>
      <c r="F11">
        <v>0.7</v>
      </c>
      <c r="G11">
        <v>27.7</v>
      </c>
    </row>
    <row r="12" spans="1:7" x14ac:dyDescent="0.3">
      <c r="A12" t="s">
        <v>420</v>
      </c>
      <c r="B12" t="s">
        <v>195</v>
      </c>
      <c r="C12">
        <v>150</v>
      </c>
      <c r="D12" t="s">
        <v>419</v>
      </c>
      <c r="E12">
        <v>7.0000000000000007E-2</v>
      </c>
      <c r="F12">
        <v>1.6</v>
      </c>
      <c r="G12">
        <v>6.3</v>
      </c>
    </row>
    <row r="13" spans="1:7" x14ac:dyDescent="0.3">
      <c r="A13" t="s">
        <v>420</v>
      </c>
      <c r="B13" t="s">
        <v>214</v>
      </c>
      <c r="C13">
        <v>48</v>
      </c>
      <c r="D13" t="s">
        <v>421</v>
      </c>
      <c r="E13">
        <v>0.13</v>
      </c>
      <c r="F13">
        <v>0.7</v>
      </c>
      <c r="G13">
        <v>26.5</v>
      </c>
    </row>
    <row r="14" spans="1:7" x14ac:dyDescent="0.3">
      <c r="A14" t="s">
        <v>422</v>
      </c>
      <c r="B14" t="s">
        <v>423</v>
      </c>
      <c r="C14">
        <v>45</v>
      </c>
      <c r="D14" t="s">
        <v>414</v>
      </c>
      <c r="E14">
        <v>0.25</v>
      </c>
      <c r="F14">
        <v>0.61</v>
      </c>
      <c r="G14">
        <v>58.6</v>
      </c>
    </row>
    <row r="15" spans="1:7" x14ac:dyDescent="0.3">
      <c r="A15" t="s">
        <v>422</v>
      </c>
      <c r="B15" t="s">
        <v>424</v>
      </c>
      <c r="C15">
        <v>62</v>
      </c>
      <c r="D15" t="s">
        <v>413</v>
      </c>
      <c r="E15">
        <v>0.2</v>
      </c>
      <c r="F15">
        <v>0.7</v>
      </c>
      <c r="G15">
        <v>42.6</v>
      </c>
    </row>
    <row r="21" spans="1:7" x14ac:dyDescent="0.3">
      <c r="A21" s="1" t="s">
        <v>426</v>
      </c>
    </row>
    <row r="22" spans="1:7" x14ac:dyDescent="0.3">
      <c r="F22" t="s">
        <v>427</v>
      </c>
    </row>
    <row r="23" spans="1:7" x14ac:dyDescent="0.3">
      <c r="A23" t="s">
        <v>401</v>
      </c>
      <c r="B23" t="s">
        <v>402</v>
      </c>
      <c r="C23" t="s">
        <v>428</v>
      </c>
      <c r="D23" t="s">
        <v>404</v>
      </c>
      <c r="E23" t="s">
        <v>429</v>
      </c>
      <c r="F23" t="s">
        <v>430</v>
      </c>
      <c r="G23" t="s">
        <v>431</v>
      </c>
    </row>
    <row r="24" spans="1:7" x14ac:dyDescent="0.3">
      <c r="A24" t="s">
        <v>425</v>
      </c>
      <c r="B24" t="s">
        <v>410</v>
      </c>
      <c r="C24">
        <v>423</v>
      </c>
      <c r="D24" t="s">
        <v>411</v>
      </c>
      <c r="E24">
        <v>0.7</v>
      </c>
      <c r="F24">
        <v>0.67</v>
      </c>
      <c r="G24">
        <v>104.5</v>
      </c>
    </row>
    <row r="25" spans="1:7" x14ac:dyDescent="0.3">
      <c r="A25" t="s">
        <v>420</v>
      </c>
      <c r="B25" t="s">
        <v>167</v>
      </c>
      <c r="C25">
        <v>634</v>
      </c>
      <c r="D25" t="s">
        <v>414</v>
      </c>
      <c r="E25">
        <v>0.74</v>
      </c>
      <c r="F25">
        <v>1.03</v>
      </c>
      <c r="G25">
        <v>71.8</v>
      </c>
    </row>
    <row r="26" spans="1:7" x14ac:dyDescent="0.3">
      <c r="A26" t="s">
        <v>420</v>
      </c>
      <c r="B26" t="s">
        <v>195</v>
      </c>
      <c r="C26">
        <v>1070</v>
      </c>
      <c r="D26" t="s">
        <v>419</v>
      </c>
      <c r="E26">
        <v>0.71</v>
      </c>
      <c r="F26">
        <v>1.64</v>
      </c>
      <c r="G26">
        <v>43.3</v>
      </c>
    </row>
    <row r="27" spans="1:7" x14ac:dyDescent="0.3">
      <c r="A27" t="s">
        <v>420</v>
      </c>
      <c r="B27" t="s">
        <v>214</v>
      </c>
      <c r="C27">
        <v>87</v>
      </c>
      <c r="D27" t="s">
        <v>421</v>
      </c>
      <c r="E27">
        <v>0.63</v>
      </c>
      <c r="F27">
        <v>0.7</v>
      </c>
      <c r="G27">
        <v>90</v>
      </c>
    </row>
    <row r="28" spans="1:7" x14ac:dyDescent="0.3">
      <c r="A28" t="s">
        <v>422</v>
      </c>
      <c r="B28" t="s">
        <v>423</v>
      </c>
      <c r="C28">
        <v>39</v>
      </c>
      <c r="D28" t="s">
        <v>414</v>
      </c>
      <c r="E28">
        <v>2.0699999999999998</v>
      </c>
      <c r="F28">
        <v>0.67</v>
      </c>
      <c r="G28">
        <v>309</v>
      </c>
    </row>
    <row r="29" spans="1:7" x14ac:dyDescent="0.3">
      <c r="A29" t="s">
        <v>422</v>
      </c>
      <c r="B29" t="s">
        <v>432</v>
      </c>
      <c r="C29">
        <v>174</v>
      </c>
      <c r="D29" t="s">
        <v>409</v>
      </c>
      <c r="E29">
        <v>0.31</v>
      </c>
      <c r="F29">
        <v>0.52</v>
      </c>
      <c r="G29">
        <v>59.6</v>
      </c>
    </row>
    <row r="30" spans="1:7" x14ac:dyDescent="0.3">
      <c r="A30" t="s">
        <v>422</v>
      </c>
      <c r="B30" t="s">
        <v>433</v>
      </c>
      <c r="C30">
        <v>29</v>
      </c>
      <c r="D30" t="s">
        <v>409</v>
      </c>
      <c r="E30">
        <v>1.9</v>
      </c>
      <c r="F30">
        <v>0.7</v>
      </c>
      <c r="G30">
        <v>280</v>
      </c>
    </row>
    <row r="31" spans="1:7" x14ac:dyDescent="0.3">
      <c r="A31" t="s">
        <v>436</v>
      </c>
      <c r="B31" t="s">
        <v>434</v>
      </c>
      <c r="C31">
        <v>351</v>
      </c>
      <c r="D31" t="s">
        <v>413</v>
      </c>
      <c r="E31">
        <v>0.39</v>
      </c>
      <c r="F31">
        <v>0.64</v>
      </c>
      <c r="G31">
        <v>60.9</v>
      </c>
    </row>
    <row r="35" spans="1:1" x14ac:dyDescent="0.3">
      <c r="A35" t="s">
        <v>435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Analysis</vt:lpstr>
      <vt:lpstr>TD_Table1</vt:lpstr>
      <vt:lpstr>Data</vt:lpstr>
      <vt:lpstr>References</vt:lpstr>
      <vt:lpstr>Unit_Normalization</vt:lpstr>
      <vt:lpstr>Northey2013</vt:lpstr>
      <vt:lpstr>Lutter2025</vt:lpstr>
      <vt:lpstr>Pena 2014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Pablo Busch</dc:creator>
  <cp:lastModifiedBy>Pablo Busch</cp:lastModifiedBy>
  <dcterms:created xsi:type="dcterms:W3CDTF">2025-12-01T15:12:48Z</dcterms:created>
  <dcterms:modified xsi:type="dcterms:W3CDTF">2026-08-11T19:27:00Z</dcterms:modified>
</cp:coreProperties>
</file>